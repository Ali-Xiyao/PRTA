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7a65f1b9fe41c0" /></Relationships>
</file>

<file path=xl/workbook.xml><?xml version="1.0" encoding="utf-8"?>
<x:workbook xmlns:x="http://schemas.openxmlformats.org/spreadsheetml/2006/main">
  <x:sheets>
    <x:sheet xmlns:r="http://schemas.openxmlformats.org/officeDocument/2006/relationships" name="复核说明" sheetId="1" r:id="R0ce11fb1172b4fbc"/>
    <x:sheet xmlns:r="http://schemas.openxmlformats.org/officeDocument/2006/relationships" name="资深医生复核" sheetId="2" r:id="Rdf393d1cbf034469"/>
    <x:sheet xmlns:r="http://schemas.openxmlformats.org/officeDocument/2006/relationships" name="质量检查" sheetId="3" r:id="Rfcef385b35ab464d"/>
    <x:sheet xmlns:r="http://schemas.openxmlformats.org/officeDocument/2006/relationships" name="标签代码表" sheetId="4" r:id="R4f3cc772cae84b8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7">
    <x:font>
      <x:sz val="11"/>
      <x:name val="Carlito"/>
    </x:font>
    <x:font>
      <x:b/>
      <x:sz val="16"/>
      <x:color rgb="FFFFFFFF"/>
      <x:name val="Microsoft YaHei"/>
    </x:font>
    <x:font>
      <x:b/>
      <x:sz val="11"/>
      <x:color rgb="FF9C0006"/>
      <x:name val="Microsoft YaHei"/>
    </x:font>
    <x:font>
      <x:b/>
      <x:sz val="10"/>
      <x:color rgb="FF1F2937"/>
      <x:name val="Microsoft YaHei"/>
    </x:font>
    <x:font>
      <x:sz val="10"/>
      <x:color rgb="FF1F2937"/>
      <x:name val="Microsoft YaHei"/>
    </x:font>
    <x:font>
      <x:b/>
      <x:sz val="10"/>
      <x:color rgb="FFFFFFFF"/>
      <x:name val="Microsoft YaHei"/>
    </x:font>
    <x:font>
      <x:b/>
      <x:sz val="14"/>
      <x:color rgb="FFFFFFFF"/>
      <x:name val="Microsoft YaHei"/>
    </x:font>
  </x:fonts>
  <x:fills count="7">
    <x:fill>
      <x:patternFill patternType="none"/>
    </x:fill>
    <x:fill>
      <x:patternFill patternType="gray125"/>
    </x:fill>
    <x:fill>
      <x:patternFill patternType="solid">
        <x:fgColor rgb="FF17365D"/>
      </x:patternFill>
    </x:fill>
    <x:fill>
      <x:patternFill patternType="solid">
        <x:fgColor rgb="FFFCE4D6"/>
      </x:patternFill>
    </x:fill>
    <x:fill>
      <x:patternFill patternType="solid">
        <x:fgColor rgb="FFD9EAF7"/>
      </x:patternFill>
    </x:fill>
    <x:fill>
      <x:patternFill patternType="solid">
        <x:fgColor rgb="FFFFF2CC"/>
      </x:patternFill>
    </x:fill>
    <x:fill>
      <x:patternFill patternType="solid">
        <x:fgColor rgb="FFF2F2F2"/>
      </x:patternFill>
    </x:fill>
  </x:fills>
  <x:borders count="5">
    <x:border/>
    <x:border>
      <x:left style="thin">
        <x:color rgb="FFD0D7DE"/>
      </x:left>
      <x:right style="thin">
        <x:color rgb="FFD0D7DE"/>
      </x:right>
      <x:top style="thin">
        <x:color rgb="FFD0D7DE"/>
      </x:top>
      <x:bottom style="thin">
        <x:color rgb="FFD0D7DE"/>
      </x:bottom>
    </x:border>
    <x:border>
      <x:bottom style="thin">
        <x:color rgb="FFE5E7EB"/>
      </x:bottom>
    </x:border>
    <x:border>
      <x:top style="thin">
        <x:color rgb="FFE5E7EB"/>
      </x:top>
      <x:bottom style="thin">
        <x:color rgb="FFE5E7EB"/>
      </x:bottom>
    </x:border>
    <x:border>
      <x:top style="thin">
        <x:color rgb="FFE5E7EB"/>
      </x:top>
      <x:bottom style="thin">
        <x:color rgb="FFD0D7DE"/>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4" borderId="1" xfId="0" applyNumberFormat="1" applyFont="1" applyFill="1" applyBorder="1" applyAlignment="1">
      <x:alignment vertical="top"/>
    </x:xf>
    <x:xf numFmtId="0" fontId="4"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4" fillId="0"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5" borderId="0" xfId="0" applyNumberFormat="1" applyFont="1" applyFill="1" applyBorder="1" applyAlignment="1">
      <x:alignment vertical="top"/>
    </x:xf>
    <x:xf numFmtId="0" fontId="4" fillId="6" borderId="0" xfId="0" applyNumberFormat="1" applyFont="1" applyFill="1" applyBorder="1" applyAlignment="1">
      <x:alignment vertical="top"/>
    </x:xf>
    <x:xf numFmtId="200" fontId="4" fillId="5" borderId="0" xfId="0" applyNumberFormat="1" applyFont="1" applyFill="1" applyBorder="1" applyAlignment="1">
      <x:alignment vertical="top"/>
    </x:xf>
    <x:xf numFmtId="201" fontId="4" fillId="0" borderId="0" xfId="0" applyNumberFormat="1" applyFont="1" applyFill="1" applyBorder="1" applyAlignment="1">
      <x:alignment vertical="top"/>
    </x:xf>
    <x:xf numFmtId="0" fontId="5" fillId="2" borderId="2" xfId="0" applyNumberFormat="1" applyFont="1" applyFill="1" applyBorder="1" applyAlignment="1">
      <x:alignment vertical="center" wrapText="1"/>
    </x:xf>
    <x:xf numFmtId="201" fontId="4" fillId="0" borderId="3"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3" xfId="0" applyNumberFormat="1" applyFont="1" applyFill="1" applyBorder="1" applyAlignment="1">
      <x:alignment vertical="top" wrapText="1"/>
    </x:xf>
    <x:xf numFmtId="0" fontId="3" fillId="4" borderId="3" xfId="0" applyNumberFormat="1" applyFont="1" applyFill="1" applyBorder="1" applyAlignment="1">
      <x:alignment vertical="top"/>
    </x:xf>
    <x:xf numFmtId="0" fontId="4" fillId="5" borderId="3" xfId="0" applyNumberFormat="1" applyFont="1" applyFill="1" applyBorder="1" applyAlignment="1">
      <x:alignment vertical="top"/>
    </x:xf>
    <x:xf numFmtId="200" fontId="4" fillId="5" borderId="3" xfId="0" applyNumberFormat="1" applyFont="1" applyFill="1" applyBorder="1" applyAlignment="1">
      <x:alignment vertical="top"/>
    </x:xf>
    <x:xf numFmtId="0" fontId="4" fillId="6" borderId="3" xfId="0" applyNumberFormat="1" applyFont="1" applyFill="1" applyBorder="1" applyAlignment="1">
      <x:alignment vertical="top"/>
    </x:xf>
    <x:xf numFmtId="201" fontId="4" fillId="0" borderId="4" xfId="0" applyNumberFormat="1" applyFont="1" applyFill="1" applyBorder="1" applyAlignment="1">
      <x:alignment vertical="top"/>
    </x:xf>
    <x:xf numFmtId="0" fontId="4" fillId="0" borderId="4" xfId="0" applyNumberFormat="1" applyFont="1" applyFill="1" applyBorder="1" applyAlignment="1">
      <x:alignment vertical="top"/>
    </x:xf>
    <x:xf numFmtId="0" fontId="4" fillId="0" borderId="4" xfId="0" applyNumberFormat="1" applyFont="1" applyFill="1" applyBorder="1" applyAlignment="1">
      <x:alignment vertical="top" wrapText="1"/>
    </x:xf>
    <x:xf numFmtId="0" fontId="3" fillId="4" borderId="4" xfId="0" applyNumberFormat="1" applyFont="1" applyFill="1" applyBorder="1" applyAlignment="1">
      <x:alignment vertical="top"/>
    </x:xf>
    <x:xf numFmtId="0" fontId="4" fillId="5" borderId="4" xfId="0" applyNumberFormat="1" applyFont="1" applyFill="1" applyBorder="1" applyAlignment="1">
      <x:alignment vertical="top"/>
    </x:xf>
    <x:xf numFmtId="200" fontId="4" fillId="5" borderId="4" xfId="0" applyNumberFormat="1" applyFont="1" applyFill="1" applyBorder="1" applyAlignment="1">
      <x:alignment vertical="top"/>
    </x:xf>
    <x:xf numFmtId="0" fontId="4" fillId="6" borderId="4" xfId="0" applyNumberFormat="1" applyFont="1" applyFill="1" applyBorder="1" applyAlignment="1">
      <x:alignment vertical="top"/>
    </x:xf>
    <x:xf numFmtId="0" fontId="6" fillId="2" borderId="0"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cellXfs>
  <x:cellStyles count="1">
    <x:cellStyle name="Normal" xfId="0"/>
  </x:cellStyles>
  <x:dxfs count="2">
    <x:dxf>
      <x:font>
        <x:b/>
        <x:color rgb="FF006100"/>
      </x:font>
      <x:fill>
        <x:patternFill patternType="solid">
          <x:bgColor rgb="FFE2F0D9"/>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e9230d05ba4669" /><Relationship Type="http://schemas.openxmlformats.org/officeDocument/2006/relationships/theme" Target="/xl/theme/theme1.xml" Id="R49df0f8b6ee84d00" /><Relationship Type="http://schemas.openxmlformats.org/officeDocument/2006/relationships/sharedStrings" Target="/xl/sharedStrings.xml" Id="Rc847c4a619c34f54" /><Relationship Type="http://schemas.openxmlformats.org/officeDocument/2006/relationships/worksheet" Target="/xl/worksheets/sheet1.xml" Id="R0ce11fb1172b4fbc" /><Relationship Type="http://schemas.openxmlformats.org/officeDocument/2006/relationships/worksheet" Target="/xl/worksheets/sheet2.xml" Id="Rdf393d1cbf034469" /><Relationship Type="http://schemas.openxmlformats.org/officeDocument/2006/relationships/worksheet" Target="/xl/worksheets/sheet3.xml" Id="Rfcef385b35ab464d" /><Relationship Type="http://schemas.openxmlformats.org/officeDocument/2006/relationships/worksheet" Target="/xl/worksheets/sheet4.xml" Id="R4f3cc772cae84b8c" /></Relationships>
</file>

<file path=xl/tables/table1.xml><?xml version="1.0" encoding="utf-8"?>
<x:table xmlns:x="http://schemas.openxmlformats.org/spreadsheetml/2006/main" id="1" name="SeniorLunaReviewTable" displayName="SeniorLunaReviewTable" ref="A1:M251" headerRowCount="1" totalsRowCount="0" totalsRowShown="0">
  <x:autoFilter ref="A1:M251"/>
  <x:tableColumns count="13">
    <x:tableColumn id="1" name="序号"/>
    <x:tableColumn id="2" name="review_id"/>
    <x:tableColumn id="3" name="数据源"/>
    <x:tableColumn id="4" name="目标病灶"/>
    <x:tableColumn id="5" name="PRIOR_REPORT"/>
    <x:tableColumn id="6" name="CURRENT_REPORT"/>
    <x:tableColumn id="7" name="Luna标签"/>
    <x:tableColumn id="8" name="资深医生标签"/>
    <x:tableColumn id="9" name="不可用原因"/>
    <x:tableColumn id="10" name="审核人"/>
    <x:tableColumn id="11" name="审核日期"/>
    <x:tableColumn id="12" name="备注（可选）"/>
    <x:tableColumn id="13" name="填写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2a60156af2f4485"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88" hidden="0" customWidth="1"/>
  </x:cols>
  <x:sheetData>
    <x:row r="1" ht="30" customHeight="1">
      <x:c r="A1" s="3" t="str">
        <x:v>PRTA-CXR Gold 资深医生 Luna 辅助复核表 v2</x:v>
      </x:c>
      <x:c r="B1" s="3"/>
      <x:c r="C1" s="3"/>
      <x:c r="D1" s="3"/>
      <x:c r="E1" s="3"/>
      <x:c r="F1" s="3"/>
      <x:c r="G1" s="3"/>
      <x:c r="H1" s="3"/>
    </x:row>
    <x:row r="3" ht="34" customHeight="1">
      <x:c r="A3" s="6" t="str">
        <x:v>本表会显示 Luna 标签，属于辅助复核而非独立盲审；第一位医生的答案未包含在本表中。</x:v>
      </x:c>
      <x:c r="B3" s="6"/>
      <x:c r="C3" s="6"/>
      <x:c r="D3" s="6"/>
      <x:c r="E3" s="6"/>
      <x:c r="F3" s="6"/>
      <x:c r="G3" s="6"/>
      <x:c r="H3" s="6"/>
    </x:row>
    <x:row r="5" ht="34" customHeight="1">
      <x:c r="A5" s="13" t="str">
        <x:v>审核对象</x:v>
      </x:c>
      <x:c r="B5" s="14" t="str">
        <x:v>共 250 行；每行只判断指定 finding 的纵向变化。</x:v>
      </x:c>
    </x:row>
    <x:row r="6" ht="34" customHeight="1">
      <x:c r="A6" s="13" t="str">
        <x:v>Luna标签</x:v>
      </x:c>
      <x:c r="B6" s="14" t="str">
        <x:v>只读参考列。请结合 PRIOR_REPORT 和 CURRENT_REPORT 核对，不要机械照抄。</x:v>
      </x:c>
    </x:row>
    <x:row r="7" ht="34" customHeight="1">
      <x:c r="A7" s="13" t="str">
        <x:v>必填字段</x:v>
      </x:c>
      <x:c r="B7" s="14" t="str">
        <x:v>资深医生标签、审核人、审核日期；选择 Unusable 时还必须填写不可用原因。</x:v>
      </x:c>
    </x:row>
    <x:row r="8" ht="34" customHeight="1">
      <x:c r="A8" s="13" t="str">
        <x:v>允许标签</x:v>
      </x:c>
      <x:c r="B8" s="14" t="str">
        <x:v>Improved / Worse / New / Resolved / Stable / Unclear / Unusable</x:v>
      </x:c>
    </x:row>
    <x:row r="9" ht="34" customHeight="1">
      <x:c r="A9" s="13" t="str">
        <x:v>修改建议</x:v>
      </x:c>
      <x:c r="B9" s="14" t="str">
        <x:v>若资深医生标签与 Luna 不同，建议在备注中简要写明关键医学边界。</x:v>
      </x:c>
    </x:row>
    <x:row r="10" ht="34" customHeight="1">
      <x:c r="A10" s="13" t="str">
        <x:v>完成检查</x:v>
      </x:c>
      <x:c r="B10" s="14" t="str">
        <x:v>填写后查看“质量检查”页：完成数应为 250，所有缺失项应为 0。</x:v>
      </x:c>
    </x:row>
    <x:row r="11" ht="34" customHeight="1">
      <x:c r="A11" s="13" t="str">
        <x:v>数据边界</x:v>
      </x:c>
      <x:c r="B11" s="14" t="str">
        <x:v>不要修改 review_id、Luna 标签、报告正文或其他只读列。</x:v>
      </x:c>
    </x:row>
    <x:row r="12" ht="34" customHeight="1">
      <x:c r="A12" s="13" t="str">
        <x:v>详细规则</x:v>
      </x:c>
      <x:c r="B12" s="14" t="str">
        <x:v>请同时阅读压缩包内 PRTA_CXR_Gold标签判定规则_v2_CN.md。</x:v>
      </x:c>
    </x:row>
  </x:sheetData>
  <x:mergeCells>
    <x:mergeCell ref="A1:H1"/>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0" hidden="0" customWidth="1"/>
    <x:col min="3" max="3" width="17" hidden="0" customWidth="1"/>
    <x:col min="4" max="4" width="20" hidden="0" customWidth="1"/>
    <x:col min="5" max="5" width="55" hidden="0" customWidth="1"/>
    <x:col min="6" max="6" width="55" hidden="0" customWidth="1"/>
    <x:col min="7" max="7" width="14" hidden="0" customWidth="1"/>
    <x:col min="8" max="8" width="17" hidden="0" customWidth="1"/>
    <x:col min="9" max="9" width="20" hidden="0" customWidth="1"/>
    <x:col min="10" max="10" width="15" hidden="0" customWidth="1"/>
    <x:col min="11" max="11" width="14" hidden="0" customWidth="1"/>
    <x:col min="12" max="12" width="28" hidden="0" customWidth="1"/>
    <x:col min="13" max="13" width="21" hidden="0" customWidth="1"/>
  </x:cols>
  <x:sheetData>
    <x:row r="1" ht="34" customHeight="1">
      <x:c r="A1" s="24" t="str">
        <x:v>序号</x:v>
      </x:c>
      <x:c r="B1" s="24" t="str">
        <x:v>review_id</x:v>
      </x:c>
      <x:c r="C1" s="24" t="str">
        <x:v>数据源</x:v>
      </x:c>
      <x:c r="D1" s="24" t="str">
        <x:v>目标病灶</x:v>
      </x:c>
      <x:c r="E1" s="24" t="str">
        <x:v>PRIOR_REPORT</x:v>
      </x:c>
      <x:c r="F1" s="24" t="str">
        <x:v>CURRENT_REPORT</x:v>
      </x:c>
      <x:c r="G1" s="24" t="str">
        <x:v>Luna标签</x:v>
      </x:c>
      <x:c r="H1" s="24" t="str">
        <x:v>资深医生标签</x:v>
      </x:c>
      <x:c r="I1" s="24" t="str">
        <x:v>不可用原因</x:v>
      </x:c>
      <x:c r="J1" s="24" t="str">
        <x:v>审核人</x:v>
      </x:c>
      <x:c r="K1" s="24" t="str">
        <x:v>审核日期</x:v>
      </x:c>
      <x:c r="L1" s="24" t="str">
        <x:v>备注（可选）</x:v>
      </x:c>
      <x:c r="M1" s="24" t="str">
        <x:v>填写状态</x:v>
      </x:c>
    </x:row>
    <x:row r="2" ht="72" customHeight="1">
      <x:c r="A2" s="25" t="n">
        <x:v>1</x:v>
      </x:c>
      <x:c r="B2" s="26" t="str">
        <x:v>review_0215</x:v>
      </x:c>
      <x:c r="C2" s="26" t="str">
        <x:v>chexpert_plus</x:v>
      </x:c>
      <x:c r="D2" s="27" t="str">
        <x:v>Pleural Effusion</x:v>
      </x:c>
      <x:c r="E2" s="27" t="str">
        <x:v>NARRATIVE:
RADIOGRAPHIC EXAMINATION OF THE CHEST: 1-1-2017
CLINICAL HISTORY: 72 years of age, Male, Flash pulm edema.
COMPARISON: 1-1-2017
PROCEDURE COMMENTS: Single view of the chest. 
FINDINGS:
Interval extubation, otherwise supportive medical devices are stable. 
High position of intra-aortic balloon pump.
Again seen are patchy bilateral airspace opacities. There is a small 
right pleural effusion.
IMPRESSION:
1.  Patchy bilateral airspace opacities in the mid and lower lung 
zones.
2.  Small right pleural effusion.
"Physician to Physician Radiology Consult Line: (674) 515-5773"
I have personally reviewed the images for this examination and agreed
with the report transcribed above.
ACCESSION NUMBER:
212150
This report has been anonymized. All dates are offset from the actual dates by a fixed interval associated with the patient.</x:v>
      </x:c>
      <x:c r="F2" s="27" t="str">
        <x:v>NARRATIVE:
RADIOGRAPHIC EXAMINATION OF THE CHEST: 3/16/2005
CLINICAL HISTORY: 72 years of age, Male, Monitor balloon pump.
COMPARISON: 3/16/2005
PROCEDURE COMMENTS: Single view of the chest. 
FINDINGS:
IABP has been retracted, now approximately 3.1 cm below the aortic 
arch. Right IJ CVC remains in the upper SVC.  
Moderate pulmonary edema is unchanged. There is persistent dense left 
base opacity. Small bilateral pleural effusions have decreased. No 
pneumothorax. 
IMPRESSION:
1.  IABP terminates 3.1 cm below the level of the aortic arch.
2.  Unchanged moderate pulmonary edema. Decreased small bilateral 
pleural effusions.
I have personally reviewed the images for this examination and agreed
with the report transcribed above.
ACCESSION NUMBER:
#W09CCR8F0
This report has been anonymized. All dates are offset from the actual dates by a fixed interval associated with the patient.</x:v>
      </x:c>
      <x:c r="G2" s="28" t="str">
        <x:v>Improved</x:v>
      </x:c>
      <x:c r="H2" s="29" t="str"/>
      <x:c r="I2" s="29" t="str"/>
      <x:c r="J2" s="29" t="str"/>
      <x:c r="K2" s="30"/>
      <x:c r="L2" s="29" t="str"/>
      <x:c r="M2" s="31" t="str">
        <x:f>IF(H2="","待填写标签",IF(AND(H2="Unusable",I2=""),"需填写不可用原因",IF(J2="","需填写审核人",IF(K2="","需填写日期","完成"))))</x:f>
        <x:v>待填写标签</x:v>
      </x:c>
    </x:row>
    <x:row r="3" ht="72" customHeight="1">
      <x:c r="A3" s="25" t="n">
        <x:v>2</x:v>
      </x:c>
      <x:c r="B3" s="26" t="str">
        <x:v>review_0022</x:v>
      </x:c>
      <x:c r="C3" s="26" t="str">
        <x:v>chexpert_plus</x:v>
      </x:c>
      <x:c r="D3" s="27" t="str">
        <x:v>Edema</x:v>
      </x:c>
      <x:c r="E3" s="27" t="str">
        <x:v>NARRATIVE:
RADIOGRAPHIC EXAMINATION OF THE CHEST: 11-16-2016
CLINICAL HISTORY: 61 years of age, Female, Eval ptx vs. pna.
COMPARISON: 11/16/2016
PROCEDURE COMMENTS: Single view of the chest. 
FINDINGS:
Interval removal of the nasogastric tube. Persistent left base and 
right perihilar airspace opacities. Diffuse reticular opacities, 
likely representing mild-to-moderate pulmonary edema.
IMPRESSION:
1.  Persistent retrocardiac and right perihilar opacities atelectasis 
or consolidation. Mild-to-moderate pulmonary edema, increased 
compared with the prior film
ACCESSION NUMBER:
067625105939
This report has been anonymized. All dates are offset from the actual dates by a fixed interval associated with the patient.</x:v>
      </x:c>
      <x:c r="F3" s="27" t="str">
        <x:v>NARRATIVE:
RADIOGRAPHIC EXAMINATION OF THE CHEST: 8/27/2006
CLINICAL HISTORY: 61 years of age, Female, Runs of V tach.
COMPARISON: Chest 8/27/2006.
PROCEDURE COMMENTS: Single view of the chest. 
FINDINGS:
Medical devices are unchanged.
Redemonstration of bibasilar opacities consistent with atelectasis 
versus consolidation. Diffuse reticular opacities have improved, most 
likely representing improving pulmonary edema.
IMPRESSION:
1.  Diffuse reticular opacities have improved, most likely 
representing improving pulmonary edema.
I have personally reviewed the images for this examination and agreed
with the report transcribed above.
ACCESSION NUMBER:
5755549
This report has been anonymized. All dates are offset from the actual dates by a fixed interval associated with the patient.</x:v>
      </x:c>
      <x:c r="G3" s="28" t="str">
        <x:v>Improved</x:v>
      </x:c>
      <x:c r="H3" s="29" t="str"/>
      <x:c r="I3" s="29" t="str"/>
      <x:c r="J3" s="29" t="str"/>
      <x:c r="K3" s="30"/>
      <x:c r="L3" s="29" t="str"/>
      <x:c r="M3" s="31" t="str">
        <x:f>IF(H3="","待填写标签",IF(AND(H3="Unusable",I3=""),"需填写不可用原因",IF(J3="","需填写审核人",IF(K3="","需填写日期","完成"))))</x:f>
        <x:v>待填写标签</x:v>
      </x:c>
    </x:row>
    <x:row r="4" ht="72" customHeight="1">
      <x:c r="A4" s="25" t="n">
        <x:v>3</x:v>
      </x:c>
      <x:c r="B4" s="26" t="str">
        <x:v>review_0096</x:v>
      </x:c>
      <x:c r="C4" s="26" t="str">
        <x:v>mimic_cxr_jpg</x:v>
      </x:c>
      <x:c r="D4" s="27" t="str">
        <x:v>Lung Opacity</x:v>
      </x:c>
      <x:c r="E4" s="27" t="str">
        <x:v>FINAL REPORT
 CHEST, TWO VIEWS:  ___ 
 HISTORY:  ___-year-old male with history of metastatic melanoma and right chest
 port, presents with generalized weakness.
 COMPARISON:  CT chest from ___ and chest x-ray from ___.
 FINDINGS:  AP and lateral views of the chest.  There is a right chest wall
 port whose catheter tip is in the upper right atrium.  This is new from recent
 chest CT.  Patient has known bilateral pulmonary nodules/masses, better seen
 on CT but the most conspicuous of which is in the right mid lung and has grown
 since prior chest x-ray and perhaps even from most recent CT.  It currently
 measures approximately 3.2 x 3.2 cm.  There is no new confluent consolidation
 nor effusion.  The cardiomediastinal silhouette is unchanged, noting that the
 left heart border is not well seen due to prominent mediastinal fat.  Median
 sternotomy wires and mediastinal clips are again seen.  Atherosclerotic
 calcifications noted at the aortic arch.  No acute osseous abnormality
 identified.
 IMPRESSION:  No definite acute cardiopulmonary process.  Right lung pulmonary
 mass appears to have slightly grown since prior chest CT.  No definite
 superimposed acute cardiopulmonary process.</x:v>
      </x:c>
      <x:c r="F4" s="27" t="str">
        <x:v>FINAL REPORT
 CHEST, TWO VIEWS:  ___
 HISTORY:  ___-year-old male with cough.  History of metastatic melanoma.
 COMPARISON:  Chest CT from ___ and chest x-ray from ___.
 FINDINGS:  Frontal and lateral views of the chest.  Again seen are multiple
 rounded masses in the lungs, better seen on the lateral view.  Small bilateral
 effusions are identified.  There is more dense opacity projecting over the
 region of the right middle lobe, much of which is due to the known mass,
 although a component of postobstructive atelectasis or infection is also
 possible.  Median sternotomy wires and mediastinal clips are again seen. 
 Right chest wall port is seen with catheter tip at the lower SVC.  Coronary
 artery stents are identified.
 IMPRESSION:  Multiple bilateral pulmonary masses as previously seen by CT
 scan.  Increased opacity in the middle lobe due to underlying mass with
 possible component of postobstructive infection or atelectasis.  Persistent
 small bilateral effusions.</x:v>
      </x:c>
      <x:c r="G4" s="28" t="str">
        <x:v>Worse</x:v>
      </x:c>
      <x:c r="H4" s="29" t="str"/>
      <x:c r="I4" s="29" t="str"/>
      <x:c r="J4" s="29" t="str"/>
      <x:c r="K4" s="30"/>
      <x:c r="L4" s="29" t="str"/>
      <x:c r="M4" s="31" t="str">
        <x:f>IF(H4="","待填写标签",IF(AND(H4="Unusable",I4=""),"需填写不可用原因",IF(J4="","需填写审核人",IF(K4="","需填写日期","完成"))))</x:f>
        <x:v>待填写标签</x:v>
      </x:c>
    </x:row>
    <x:row r="5" ht="72" customHeight="1">
      <x:c r="A5" s="25" t="n">
        <x:v>4</x:v>
      </x:c>
      <x:c r="B5" s="26" t="str">
        <x:v>review_0226</x:v>
      </x:c>
      <x:c r="C5" s="26" t="str">
        <x:v>mimic_cxr_jpg</x:v>
      </x:c>
      <x:c r="D5" s="27" t="str">
        <x:v>Lung Opacity</x:v>
      </x:c>
      <x:c r="E5" s="27" t="str">
        <x:v>FINAL REPORT
 PA AND LATERAL VIEWS OF THE CHEST:
 REASON FOR EXAM:  Hemoptysis, ANCA vasculitis.
 Comparison is made to prior study ___.
 Cardiomediastinal contours are normal.  Left upper lobe consolidation has
 improved.  There is no pneumothorax or pleural effusion.  Right central
 catheter tip is in the lower SVC.  There are no new lung abnormalities.  The
 right lung is grossly clear.  Diaphragmatic pick sign in the left  suggests
 evidence of loss of volume at the left lung.</x:v>
      </x:c>
      <x:c r="F5" s="27" t="str">
        <x:v>FINAL REPORT
 HISTORY:  ___-year-old female with nausea, chills and sweats.  History of GPA
 on steroids.
 COMPARISON:  ___.
 FINDINGS:
 PA and lateral views of the chest.  There has been interval resolution of the
 previously identified left upper lobe opacity.  There is no new region of
 consolidation or effusion.  The cardiomediastinal silhouette is normal.  No
 acute osseous abnormalities detected.
 IMPRESSION:
 No acute cardiopulmonary process.</x:v>
      </x:c>
      <x:c r="G5" s="28" t="str">
        <x:v>Resolved</x:v>
      </x:c>
      <x:c r="H5" s="29" t="str"/>
      <x:c r="I5" s="29" t="str"/>
      <x:c r="J5" s="29" t="str"/>
      <x:c r="K5" s="30"/>
      <x:c r="L5" s="29" t="str"/>
      <x:c r="M5" s="31" t="str">
        <x:f>IF(H5="","待填写标签",IF(AND(H5="Unusable",I5=""),"需填写不可用原因",IF(J5="","需填写审核人",IF(K5="","需填写日期","完成"))))</x:f>
        <x:v>待填写标签</x:v>
      </x:c>
    </x:row>
    <x:row r="6" ht="72" customHeight="1">
      <x:c r="A6" s="25" t="n">
        <x:v>5</x:v>
      </x:c>
      <x:c r="B6" s="26" t="str">
        <x:v>review_0141</x:v>
      </x:c>
      <x:c r="C6" s="26" t="str">
        <x:v>chexpert_plus</x:v>
      </x:c>
      <x:c r="D6" s="27" t="str">
        <x:v>Pleural Effusion</x:v>
      </x:c>
      <x:c r="E6" s="27" t="str">
        <x:v>NARRATIVE:
ONE VIEW CHEST: 1/29/2014.
CLINICAL HISTORY:
Evaluate for infiltrates.
FINDINGS:
Costophrenic angle sharp. Cardiac silhouette at upper limits of
normal to slightly enlarged. Pulmonary vessels mildly indistinct.
The lungs demonstrate a diffuse fine reticular pattern, acuity
indeterminate. No focal consolidation is demonstrated. Mild
peribronchial cuffing is present. The bones are unremarkable.
IMPRESSION:
1. MILD CARDIOMEGALY.
2. DIFFUSE FINE RETICULAR OPACITIES IN THE LUNG, CHRONICITY
INDETERMINATE. RECOMMEND COMPARISON WITH PRIOR FILM TO EVALUATE
CHRONICITY. IF FINDINGS ARE ACUTE, THEY MAY DEMONSTRATE EDEMA, OR,
LESS LIKELY, INFECTION.
END OF IMPRESSION:
SUMMARY 4: Possible significant abnormality/change, may need
action.
I have personally reviewed the images for this examination and agree
with the report transcribed above.
By: FRYE, AYLA R..  on: 01-29-14
ACCESSION NUMBER:
#2223122
This report has been anonymized. All dates are offset from the actual dates by a fixed interval associated with the patient.</x:v>
      </x:c>
      <x:c r="F6" s="27" t="str">
        <x:v>NARRATIVE:
TWO VIEW CHEST: 6-21-14
COMPARISON: 6-21-2014.
CLINICAL HISTORY: Myocardial infarction.
FINDINGS: New, bilateral pleural effusions are seen, not present on
the examination of 6/21/2014. The cardiac silhouette is mildly
enlarged. Pulmonary vessels are indistinct with both alveolar and
interstitial increased opacity, consistent with pulmonary edema.
Calcification of the aorta is seen consistent with atherosclerosis.
No bony changes are identified.
IMPRESSION: CARDIOMEGALY WITH CONGESTIVE HEART FAILURE
END OF IMPRESSION:
SUMMARY 4: Possible significant abnormality/change, may need
action.
I have personally reviewed the images for this examination and agree
with the report transcribed above.
By: NICHOLSON KAYSON, MD  on: 6/21/2014
ACCESSION NUMBER:
8821793
This report has been anonymized. All dates are offset from the actual dates by a fixed interval associated with the patient.</x:v>
      </x:c>
      <x:c r="G6" s="28" t="str">
        <x:v>New</x:v>
      </x:c>
      <x:c r="H6" s="29" t="str"/>
      <x:c r="I6" s="29" t="str"/>
      <x:c r="J6" s="29" t="str"/>
      <x:c r="K6" s="30"/>
      <x:c r="L6" s="29" t="str"/>
      <x:c r="M6" s="31" t="str">
        <x:f>IF(H6="","待填写标签",IF(AND(H6="Unusable",I6=""),"需填写不可用原因",IF(J6="","需填写审核人",IF(K6="","需填写日期","完成"))))</x:f>
        <x:v>待填写标签</x:v>
      </x:c>
    </x:row>
    <x:row r="7" ht="72" customHeight="1">
      <x:c r="A7" s="25" t="n">
        <x:v>6</x:v>
      </x:c>
      <x:c r="B7" s="26" t="str">
        <x:v>review_0182</x:v>
      </x:c>
      <x:c r="C7" s="26" t="str">
        <x:v>chexpert_plus</x:v>
      </x:c>
      <x:c r="D7" s="27" t="str">
        <x:v>Pneumothorax</x:v>
      </x:c>
      <x:c r="E7" s="27" t="str">
        <x:v>NARRATIVE:
Exam: Chest 1 View, 9/1/2010
Clinical History: 37-year-old male with pneumothorax
Comparison: 9-1-2010.m.
IMPRESSION:
1.AP SEMIERECT CHEST RADIOGRAPH AGAIN DEMONSTRATES A LARGE 
RIGHT-SIDED PNEUMOTHORAX, MEASURING A MAXIMUM OF 3 CM IN DEPTH.  THIS 
APPEARS SLIGHTLY SMALLER THAN ON THE EARLIER STUDY AT 9:50 A.M. NO 
ASSOCIATED MEDIASTINAL SHIFT.
2.BAND ATELECTASIS AT THE LEFT BASE, WITH PATCHY OPACIFICATION IN THE 
LEFT COSTOPHRENIC ANGLE.
3.INTACT STERNOTOMY WIRES, AND STABLE CARDIOMEGALY..
SUMMARY:2-ABNORMAL, PREVIOUSLY REPORTED
ACCESSION NUMBER:
v1cg17xp359
This report has been anonymized. All dates are offset from the actual dates by a fixed interval associated with the patient.</x:v>
      </x:c>
      <x:c r="F7" s="27" t="str">
        <x:v>NARRATIVE:
EXAM: Chest 2 Views, 2/13/2007
CLINICAL HISTORY: 37 years Male Post op effusions and edema 
COMPARISON: 2-13-2007
IMPRESSION:
1.FRONTAL VIEW OF THE CHEST DEMONSTRATES INTERVAL REMOVAL OF THE 
PREVIOUSLY NOTED RIGHT INTERNAL JUGULAR VENOUS LINE AND SHEATH.
2.A INTERVAL DEVELOPMENT OF A LARGE RIGHT PNEUMOTHORAX MEASURING UP 
TO 4.3 CM IN MAXIMAL DEPTH, WITH COLLAPSE OF THE UNDERLYING LUNG.  NO 
SIGNIFICANT MIDLINE SHIFT TO SUGGEST DEVELOPING TENSION.
3.STERNOTOMY WIRES ARE PRESENT WITH STABLE CARDIOMEGALY.  
4.LEFT BASE ATELECTASIS AND SMALL LEFT EFFUSION.
5.FINDINGS WERE DISCUSSED WITH Cyrus Nguyen M.D. ON FEBRUARY 13 AT 1045 
HRS
SUMMARY:4-POSSIBLY SIGNIFICANT FINDING, MAY NEED ACTION
I have personally reviewed the images for this examination and agreed
with the report transcribed above.
ACCESSION NUMBER:
0061
This report has been anonymized. All dates are offset from the actual dates by a fixed interval associated with the patient.</x:v>
      </x:c>
      <x:c r="G7" s="28" t="str">
        <x:v>Worse</x:v>
      </x:c>
      <x:c r="H7" s="29" t="str"/>
      <x:c r="I7" s="29" t="str"/>
      <x:c r="J7" s="29" t="str"/>
      <x:c r="K7" s="30"/>
      <x:c r="L7" s="29" t="str"/>
      <x:c r="M7" s="31" t="str">
        <x:f>IF(H7="","待填写标签",IF(AND(H7="Unusable",I7=""),"需填写不可用原因",IF(J7="","需填写审核人",IF(K7="","需填写日期","完成"))))</x:f>
        <x:v>待填写标签</x:v>
      </x:c>
    </x:row>
    <x:row r="8" ht="72" customHeight="1">
      <x:c r="A8" s="25" t="n">
        <x:v>7</x:v>
      </x:c>
      <x:c r="B8" s="26" t="str">
        <x:v>review_0018</x:v>
      </x:c>
      <x:c r="C8" s="26" t="str">
        <x:v>chexpert_plus</x:v>
      </x:c>
      <x:c r="D8" s="27" t="str">
        <x:v>Lung Opacity</x:v>
      </x:c>
      <x:c r="E8" s="27" t="str">
        <x:v>NARRATIVE:
ONE VIEW CHEST:  9-20-2005
 COMPARISON:  9-20-05.
 IMPRESSION:  
 1.  ONE VIEW PORTABLE SEMIUPRIGHT CHEST RADIOGRAPH REVEALS UNCHANGED 
ET TUBE, FEEDING TUBE, TRANSVENOUS ONE-LEAD PACER LEAD.  
 2.  REDEMONSTRATION OF BILATERAL PROBABLY PARTIALLY LOCULATED 
PLEURAL EFFUSIONS, BILATERAL AIR SPACE OPACITY.  STABLE CARDIOMEGALY 
AND SIGNS OF PULMONARY EDEMA.  
 SUMMARY:4-POSSIBLE SIGNIFICANT FINDINGS, MAY NEED ACTION
ACCESSION NUMBER:
#92199438
This report has been anonymized. All dates are offset from the actual dates by a fixed interval associated with the patient.</x:v>
      </x:c>
      <x:c r="F8" s="27" t="str">
        <x:v>NARRATIVE:
SINGLE FRONTAL VIEW OF THE CHEST:  06/15
 COMPARISON:  6/15/2004
 CLINICAL HISTORY:  Sixty-four-year-old male intubated with ongoing 
evaluation of lung disease.
 IMPRESSION:
 1.  FEEDING TUBE AND ENDOTRACHEAL TUBE ARE IN PLACE UNCHANGED FROM 
PRIOR STUDY.  LEFT SIDED IJ CATHETER SEEN WITH TIP NOT WELL 
VISUALIZED HOWEVER THIS MAY BE PROJECTING NEAR THE VICINITY OF THE 
RIGHT ATRIUM.
 2.  STABLE APPEARANCE OF NEAR COMPLETE OPACIFICATION OF THE LEFT 
HEMITHORAX WITH AIR SPACE OPACITIES AND STABLE APPEARANCE OF LEFT 
SIDED PLEURAL EFFUSION.
 3.  LOW LUNG VOLUMES ARE SEEN WITHIN THE RIGHT SIDE WITH STABLE 
PATCHY MULTIFOCAL AIRSPACE OPACITIES.
 SUMMARY:4-POSSIBLE SIGNIFICANT FINDINGS, MAY NEED ACTION  
I have personally reviewed the images for this examination and agreed
with the report transcribed above.
ACCESSION NUMBER:
3251.1098.41
This report has been anonymized. All dates are offset from the actual dates by a fixed interval associated with the patient.</x:v>
      </x:c>
      <x:c r="G8" s="28" t="str">
        <x:v>Stable</x:v>
      </x:c>
      <x:c r="H8" s="29" t="str"/>
      <x:c r="I8" s="29" t="str"/>
      <x:c r="J8" s="29" t="str"/>
      <x:c r="K8" s="30"/>
      <x:c r="L8" s="29" t="str"/>
      <x:c r="M8" s="31" t="str">
        <x:f>IF(H8="","待填写标签",IF(AND(H8="Unusable",I8=""),"需填写不可用原因",IF(J8="","需填写审核人",IF(K8="","需填写日期","完成"))))</x:f>
        <x:v>待填写标签</x:v>
      </x:c>
    </x:row>
    <x:row r="9" ht="72" customHeight="1">
      <x:c r="A9" s="25" t="n">
        <x:v>8</x:v>
      </x:c>
      <x:c r="B9" s="26" t="str">
        <x:v>review_0234</x:v>
      </x:c>
      <x:c r="C9" s="26" t="str">
        <x:v>mimic_cxr_jpg</x:v>
      </x:c>
      <x:c r="D9" s="27" t="str">
        <x:v>Lung Opacity</x:v>
      </x:c>
      <x:c r="E9" s="27" t="str">
        <x:v>FINAL ADDENDUM
 ADDENDUM  I reported the findings to Dr. ___ return my call at 5
 p.m..
 ______________________________________________________________________________
                                 FINAL REPORT
 EXAMINATION:  CHEST (PA AND LAT)
 INDICATION:  ___ year old woman with URI sx with worsening wheezing/dyspnea  //
 r/o infiltrate      r/o infiltrate
 COMPARISON:  There no prior chest radiographs available.
 IMPRESSION: 
 A band like region of heterogeneous opacification in the mid right lung
 lateral to the hilus on the frontal view is probably pneumonia in the
 posterior segment of the right lobe.  Lungs are otherwise clear. 
 Cardiomediastinal and hilar silhouettes and pleural surfaces are normal.
 Followup radiograph should be obtained in no sooner than 4 and no longer than
 6 weeks to document substantial clearing.
 NOTIFICATION:  I telephoned the  ___ site and paged Dr. ___ at the___.  There was no response to either.  I left a message with
 the ___ receptionist to have a health provider call me as soon as
 possible, as of 16:50, I had not received a return phone call.</x:v>
      </x:c>
      <x:c r="F9" s="27" t="str">
        <x:v>FINAL REPORT
 EXAMINATION:  Chest:  Frontal and lateral views
 INDICATION:  ___ year old woman with recent PNA, f/u Xray requested  // s/p
 PNA, f/u for resolution of inf
 TECHNIQUE:  Chest:  Frontal and Lateral
 COMPARISON:  Prior radiographs on ___
 FINDINGS: 
 Compared with prior radiographs on ___, there has been interval
 resolution of a right midlung opacity.The lungs are clear without focal
 consolidation.  No pleural effusion or pneumothorax is seen. The cardiac and
 mediastinal silhouettes are unremarkable.
 IMPRESSION: 
 Complete resolution of right mid lung pneumonia.</x:v>
      </x:c>
      <x:c r="G9" s="28" t="str">
        <x:v>Resolved</x:v>
      </x:c>
      <x:c r="H9" s="29" t="str"/>
      <x:c r="I9" s="29" t="str"/>
      <x:c r="J9" s="29" t="str"/>
      <x:c r="K9" s="30"/>
      <x:c r="L9" s="29" t="str"/>
      <x:c r="M9" s="31" t="str">
        <x:f>IF(H9="","待填写标签",IF(AND(H9="Unusable",I9=""),"需填写不可用原因",IF(J9="","需填写审核人",IF(K9="","需填写日期","完成"))))</x:f>
        <x:v>待填写标签</x:v>
      </x:c>
    </x:row>
    <x:row r="10" ht="72" customHeight="1">
      <x:c r="A10" s="25" t="n">
        <x:v>9</x:v>
      </x:c>
      <x:c r="B10" s="26" t="str">
        <x:v>review_0032</x:v>
      </x:c>
      <x:c r="C10" s="26" t="str">
        <x:v>chexpert_plus</x:v>
      </x:c>
      <x:c r="D10" s="27" t="str">
        <x:v>Lung Opacity</x:v>
      </x:c>
      <x:c r="E10" s="27" t="str">
        <x:v>NARRATIVE:
EXAM: Chest 1 View, 2018 24th march
CLINICAL HISTORY:  65 years old Male ICU follow-up 
COMPARISON: 3-24-2018
TECHNIQUE: Single frontal view of chest on 3/24/18
IMPRESSION:
1.INTERVAL SLIGHT DECREASE IN DIFFUSE GROUNDGLASS OPACITY THROUGHOUT 
BOTH LUNGS, WHICH IS SLIGHTLY MORE PRONOUNCED IN THE RIGHT LUNG.  
STABLE CONFLUENT AIRSPACE OPACITY IN THE LEFT RETROCARDIAC REGION.  
STABLE SMALL BILATERAL PLEURAL EFFUSIONS.  NO PNEUMOTHORAX.
2.STABLE MODERATE CARDIOMEGALY.
3.UNCHANGED POSITION OF RIGHT INTERNAL JUGULAR LINE.
SUMMARY:4-POSSIBLY SIGNIFICANT FINDING, MAY NEED ACTION
I have personally reviewed the images for this examination and agreed
with the report transcribed above.
ACCESSION NUMBER:
93_20_50_24_15_6
This report has been anonymized. All dates are offset from the actual dates by a fixed interval associated with the patient.</x:v>
      </x:c>
      <x:c r="F10" s="27" t="str">
        <x:v>NARRATIVE:
EXAM: Chest 1 View, 9-4-2016
CLINICAL HISTORY: Sp pic manipulation
COMPARISON: 9/4/2016
FINDINGS: 
Single frontal view of chest on 9-4-2016 at 0941: Numerous upper 
extremity PICC, with tip 6 mm below the level of the carina.  Stable 
right internal jugular line and transvenous pacer.  Stable mild 
pulmonary edema and small bilateral pleural effusions.  No 
pneumothorax.  Stable mild enlargement of the cardiac silhouette.
Single frontal view of chest on 9/4/2016 at 1024: Interval 
advancement of right upper extremity PICC, now with tip 3.4 cm below 
the carina.  Other support hardware appears stable.  Interval slight 
increased reticular pattern throughout the lungs, which likely 
reflects mild pulmonary edema.  Stable confluent airspace opacity in 
the retrocardiac region small bilateral pleural effusions.  No 
pneumothorax.
Single frontal view of chest on September 4th at 1419: New Swan-Ganz 
catheter tip overlies the right interlobar pulmonary artery.  
Interval slight increase in reticular pattern throughout both lungs, 
, which may reflect increasing mild pulmonary edema.  Stable small 
bilateral pleural effusions.  Stable cardiomegaly.
IMPRESSION:
1.SERIES OF 3 FRONTAL CHEST RADIOGRAPHS DEMONSTRATE PLACEMENT AND 
ADVANCEMENT OF RIGHT UPPER EXTREMITY PICC, WITH TIP 3.4 CM BELOW THE 
LEVEL OF THE CARINA ON THE MOST RECENT STUDY.  NO PNEUMOTHORAX.
2.INTERVAL PLACEMENT OF SWAN-GANZ CATHETER, WITH TIP OVERLYING THE 
RIGHT INTERLOBAR PULMONARY ARTERY.
3.PROGRESSIVE INCREASE IN PULMONARY EDEMA, WHICH IS MILD.
4.STABLE SMALL BILATERAL PLEURAL EFFUSIONS, WITH ASSOCIATED CONFLUENT 
AIRSPACE OPACITY IN BOTH LUNG BASES.
SUMMARY:4-POSSIBLY SIGNIFICANT FINDING, MAY NEED ACTION
I have personally reviewed the images for this examination and agreed
with the report transcribed above.
ACCESSION NUMBER:
tmkpnph
This report has been anonymized. All dates are offset from the actual dates by a fixed interval associated with the patient.</x:v>
      </x:c>
      <x:c r="G10" s="28" t="str">
        <x:v>Stable</x:v>
      </x:c>
      <x:c r="H10" s="29" t="str"/>
      <x:c r="I10" s="29" t="str"/>
      <x:c r="J10" s="29" t="str"/>
      <x:c r="K10" s="30"/>
      <x:c r="L10" s="29" t="str"/>
      <x:c r="M10" s="31" t="str">
        <x:f>IF(H10="","待填写标签",IF(AND(H10="Unusable",I10=""),"需填写不可用原因",IF(J10="","需填写审核人",IF(K10="","需填写日期","完成"))))</x:f>
        <x:v>待填写标签</x:v>
      </x:c>
    </x:row>
    <x:row r="11" ht="72" customHeight="1">
      <x:c r="A11" s="25" t="n">
        <x:v>10</x:v>
      </x:c>
      <x:c r="B11" s="26" t="str">
        <x:v>review_0009</x:v>
      </x:c>
      <x:c r="C11" s="26" t="str">
        <x:v>chexpert_plus</x:v>
      </x:c>
      <x:c r="D11" s="27" t="str">
        <x:v>Pleural Effusion</x:v>
      </x:c>
      <x:c r="E11" s="27" t="str">
        <x:v>NARRATIVE:
RADIOGRAPHIC EXAMINATION OF THE CHEST: 11/12/2006 and 11:52 AM
CLINICAL HISTORY: 59 years of age, Male, S/p laparoscopy, 
thoracotomy, esophagectomy.
COMPARISON: 11/12/2006
PROCEDURE COMMENTS: Single view of the chest. 
FINDINGS:
Portable chest 12/3/202 at 6:14 AM
There has been interval removal of the NG tube. Stable right-sided 
chest tube. No change in the post-operative chest after 
esophagectomy, thoracotomy, and laparoscopy. Cardiomediastinal 
silhouette is unchanged. There is a small right apical pneumothorax. 
Unchanged small left pleural effusion. Bibasilar opacities, mildly 
improved on the right and with silhouetting of the left hemidiaphragm 
on the left. 
Portable chest 11/12/2006 at 11:52 AM
The right chest tube is removed without change in the tiny right 
apical pneumothorax. Remainder of the chest is unchanged.
IMPRESSION:
1.  Persistent small right apical pneumothorax after right chest tube 
removal.
2.  Persistent small left pleural effusion.
3.  Bibasilar opacities, mildly improved on the right ends 
opacification in the retrocardiac cardiac region.
"Physician to Physician Radiology Consult Line: (780) 174-2878"
I have personally reviewed the images for this examination and agreed
with the report transcribed above.
ACCESSION NUMBER:
ZFOYJZZR
This report has been anonymized. All dates are offset from the actual dates by a fixed interval associated with the patient.</x:v>
      </x:c>
      <x:c r="F11" s="27" t="str">
        <x:v>NARRATIVE:
RADIOGRAPHIC EXAMINATION OF THE CHEST: 7-24
CLINICAL HISTORY: 59 years of age, Male, S/p laparoscopy, 
thoracotomy, esophagectomy.
COMPARISON: 7/24/18
PROCEDURE COMMENTS: Single view of the chest. 
FINDINGS:
The cardiomediastinal silhouette is unchanged. Small right apical 
pneumothorax is again noted. There is no change in the postoperative 
chest after esophagectomy, thoracotomy, and laparoscopy. There is 
improved right midlung zone opacity. Left pleural effusion is again 
seen. There is persistent retrocardiac opacity.
IMPRESSION:
1.  Persistent small right apical pneumothorax.
2.  Improved right midlung zone opacity.
3.  Unchanged small left pleural effusion.
"Physician to Physician Radiology Consult Line: (752) 731-1033"
I have personally reviewed the images for this examination and agreed
with the report transcribed above.
ACCESSION NUMBER:
#475440703
This report has been anonymized. All dates are offset from the actual dates by a fixed interval associated with the patient.</x:v>
      </x:c>
      <x:c r="G11" s="28" t="str">
        <x:v>Stable</x:v>
      </x:c>
      <x:c r="H11" s="29" t="str"/>
      <x:c r="I11" s="29" t="str"/>
      <x:c r="J11" s="29" t="str"/>
      <x:c r="K11" s="30"/>
      <x:c r="L11" s="29" t="str"/>
      <x:c r="M11" s="31" t="str">
        <x:f>IF(H11="","待填写标签",IF(AND(H11="Unusable",I11=""),"需填写不可用原因",IF(J11="","需填写审核人",IF(K11="","需填写日期","完成"))))</x:f>
        <x:v>待填写标签</x:v>
      </x:c>
    </x:row>
    <x:row r="12" ht="72" customHeight="1">
      <x:c r="A12" s="25" t="n">
        <x:v>11</x:v>
      </x:c>
      <x:c r="B12" s="26" t="str">
        <x:v>review_0133</x:v>
      </x:c>
      <x:c r="C12" s="26" t="str">
        <x:v>chexpert_plus</x:v>
      </x:c>
      <x:c r="D12" s="27" t="str">
        <x:v>Lung Opacity</x:v>
      </x:c>
      <x:c r="E12" s="27" t="str">
        <x:v>NARRATIVE:
HISTORY: 48-year-old female with disconnection of tubes.
 COMPARISON: Portable chest x-ray, 1/19/07.
 IMPRESSION:
 1. AP portable semiupright view of the chest demonstrates interval
removal of a right-sided chest tube. No pneumothorax.
 2. Grossly clear lungs and stable appearance of left breast probably
silicone implant. No other significant change.
 END OF IMPRESSION:
 SUMMARY: 2-ABNORMAL, PREVIOUSLY REPORTED
I have personally reviewed the images for this examination and agreed
with the report transcribed above.
ACCESSION NUMBER:
aNsEPurT
This report has been anonymized. All dates are offset from the actual dates by a fixed interval associated with the patient.</x:v>
      </x:c>
      <x:c r="F12" s="27" t="str">
        <x:v>NARRATIVE:
CHEST:
CLINICAL HISTORY:  Evaluate postoperative.
COMPARISON:  9-17-20 at 09:45 hours
IMPRESSION:
     1.   AP      PORTABLE SEMI-ERECT SINGLE VIEW OF THE CHEST ON
9/17/2020 AT 04:38 HOURS      DEMONSTRATES INTERVAL REMOVAL OF
ENDOTRACHEAL TUBE AND NASOGASTRIC      TUBES.  RIGHT INTERNAL JUGULAR
SHEATH AND MULTIPLE MEDIASTINAL DRAINS ARE UNCHANGED. SLIGHT
WORSENING OF      RETROCARDIAC OPACITY WITH CONTINUED MILD
INTERSTITIAL EDEMA.  LOW LUNG VOLUMES BILATERALLY.  NO SIGNIFICANT
ADDITIONAL CHANGES.
SUMMARY:2-ABNORMAL, PREVIOUSLY REPORTED
ACCESSION NUMBER:
62699
This report has been anonymized. All dates are offset from the actual dates by a fixed interval associated with the patient.</x:v>
      </x:c>
      <x:c r="G12" s="28" t="str">
        <x:v>New</x:v>
      </x:c>
      <x:c r="H12" s="29" t="str"/>
      <x:c r="I12" s="29" t="str"/>
      <x:c r="J12" s="29" t="str"/>
      <x:c r="K12" s="30"/>
      <x:c r="L12" s="29" t="str"/>
      <x:c r="M12" s="31" t="str">
        <x:f>IF(H12="","待填写标签",IF(AND(H12="Unusable",I12=""),"需填写不可用原因",IF(J12="","需填写审核人",IF(K12="","需填写日期","完成"))))</x:f>
        <x:v>待填写标签</x:v>
      </x:c>
    </x:row>
    <x:row r="13" ht="72" customHeight="1">
      <x:c r="A13" s="25" t="n">
        <x:v>12</x:v>
      </x:c>
      <x:c r="B13" s="26" t="str">
        <x:v>review_0177</x:v>
      </x:c>
      <x:c r="C13" s="26" t="str">
        <x:v>chexpert_plus</x:v>
      </x:c>
      <x:c r="D13" s="27" t="str">
        <x:v>Edema</x:v>
      </x:c>
      <x:c r="E13" s="27" t="str">
        <x:v>NARRATIVE:
PORTABLE CHEST, SINGLE VIEW: 2007/3/5
PORTABLE CHEST, SINGLE VIEW: 3/5/07
PORTABLE CHEST, SINGLE VIEW: 3/5/2007
CLINICAL HISTORY: GI bleed, follow up. Evaluate for pneumonia.
FINDINGS: Initial portable chest on 3/5/07 at 1523 hours reveals
diffuse increased consolidation of the right lung compared to the
left especially the right lower lobe. Bilateral internal central
venous catheters are noted with the left catheter ending in the
brachiocephalic vein.
Follow up portable chest on 3-5-07 at 2315 hours reveals new
extensive consolidation involving the left lung, with clearing of
the right lung partially. This demonstrate dramatic change.
Follow up portable chest on 3/5/2007 at 0623 hours shows dramatic
clearing of the left lung. The right internal jugular central
venous catheter has been removed leaving the left internal jugular
catheter in the brachiocephalic vein. There is still some
residual, consolidation or atelectasis at the right lung base.
IMPRESSION:
1. SEQUENCE OF RADIOGRAPHS DEMONSTRATING INITIAL INCREASED RIGHT
LOWER LUNG CONSOLIDATION WHICH THEN CLEARS PARTIALLY, WHILE AT THE
SAME TIME TRANSIENT DENSE OPACIFICATION OF MOST OF THE LEFT LOWER
AND MID HEMITHORAX WHICH SUBSEQUENTLY CLEARS.
2. SEQUENCE OF RADIOGRAPHS DEMONSTRATING INITIAL PLACEMENT OF A
LEFT INTERNAL JUGULAR CENTRAL VENOUS CATHETER, WHICH IS THEN
ADVANCED TOWARD THE MORE DISTAL BRACHIOCEPHALIC VEIN NEAR THE
CONFLUENCE OF THE INTERNAL JUGULAR, AND SUBSEQUENT REMOVAL OF THE
RIGHT INTERNAL JUGULAR CATHETER.
END OF IMPRESSION.
SUMMARY:4-POSSIBLE SIGNIFICANT FINDINGS, MAY NEED ACTION
ACCESSION NUMBER:
#1983587084
This report has been anonymized. All dates are offset from the actual dates by a fixed interval associated with the patient.</x:v>
      </x:c>
      <x:c r="F13" s="27" t="str">
        <x:v>NARRATIVE:
PORTABLE CHEST: 3-6-17
CLINICAL HISTORY: Gastrointestinal bleed. Follow-up.
IMPRESSION:
1. AP PORTABLE CHEST, 3-6-2017 COMPARED TO 11/27/2008 DEMONSTRATES INTERVAL
PLACEMENT OF A NASOGASTRIC FEEDING TUBE WITH THE TIP BEYOND THE
LOWER BORDER OF THE FILM.
2. LEFT INTERNAL JUGULAR LINE IN BRACHIOCEPHALIC VEIN UNCHANGED.
3. DIFFUSE BILATERAL ILL-DEFINED OPACITIES, MOST CONSISTENT WITH
SLIGHTLY PATCHY PULMONARY EDEMA, UNCHANGED.
4. BIBASILAR ATELECTASIS AND PLEURAL EFFUSIONS STABLE.
END OF IMPRESSION:
SUMMARY:2-ABNORMAL, PREVIOUSLY REPORTED
QAD
ACCESSION NUMBER:
54104193
This report has been anonymized. All dates are offset from the actual dates by a fixed interval associated with the patient.</x:v>
      </x:c>
      <x:c r="G13" s="28" t="str">
        <x:v>New</x:v>
      </x:c>
      <x:c r="H13" s="29" t="str"/>
      <x:c r="I13" s="29" t="str"/>
      <x:c r="J13" s="29" t="str"/>
      <x:c r="K13" s="30"/>
      <x:c r="L13" s="29" t="str"/>
      <x:c r="M13" s="31" t="str">
        <x:f>IF(H13="","待填写标签",IF(AND(H13="Unusable",I13=""),"需填写不可用原因",IF(J13="","需填写审核人",IF(K13="","需填写日期","完成"))))</x:f>
        <x:v>待填写标签</x:v>
      </x:c>
    </x:row>
    <x:row r="14" ht="72" customHeight="1">
      <x:c r="A14" s="25" t="n">
        <x:v>13</x:v>
      </x:c>
      <x:c r="B14" s="26" t="str">
        <x:v>review_0024</x:v>
      </x:c>
      <x:c r="C14" s="26" t="str">
        <x:v>mimic_cxr_jpg</x:v>
      </x:c>
      <x:c r="D14" s="27" t="str">
        <x:v>Edema</x:v>
      </x:c>
      <x:c r="E14" s="27" t="str">
        <x:v>FINAL REPORT
 REASON FOR EXAMINATION:  Recurrent right pleural effusion after right
 thoracocentesis.
 Portable AP radiograph of the chest was reviewed in comparison to prior study
 obtained the same day earlier.
 After thoracocentesis, AP view demonstrates substantial decrease in right
 pleural effusion.  There is no evidence of pneumothorax on the current study. 
 Minimal interstitial engorgement is noted that might represent volume overload
 or developing interstitial pulmonary edema.  The rest of the findings are
 unchanged including left pleural effusion and atelectasis.</x:v>
      </x:c>
      <x:c r="F14" s="27" t="str">
        <x:v>FINAL REPORT
 PA AND LATERAL CHEST X-RAY
 INDICATION:  Patient with pleural effusion.
 COMPARISON:  ___.
 FINDINGS:
 Right small-to-moderate pleural effusion has reaccumulated.  Left small
 pleural effusion is unchanged.  Mild pulmonary edema has resolved.  Cardiac
 contour mild enlargement is stable.  There is no pneumothorax.  Extensive
 arterial calcification is seen.
 CONCLUSION:
 Right small-to-moderate pleural effusion has reaccumulated.
 Unchanged small left pleural effusion.</x:v>
      </x:c>
      <x:c r="G14" s="28" t="str">
        <x:v>Resolved</x:v>
      </x:c>
      <x:c r="H14" s="29" t="str"/>
      <x:c r="I14" s="29" t="str"/>
      <x:c r="J14" s="29" t="str"/>
      <x:c r="K14" s="30"/>
      <x:c r="L14" s="29" t="str"/>
      <x:c r="M14" s="31" t="str">
        <x:f>IF(H14="","待填写标签",IF(AND(H14="Unusable",I14=""),"需填写不可用原因",IF(J14="","需填写审核人",IF(K14="","需填写日期","完成"))))</x:f>
        <x:v>待填写标签</x:v>
      </x:c>
    </x:row>
    <x:row r="15" ht="72" customHeight="1">
      <x:c r="A15" s="25" t="n">
        <x:v>14</x:v>
      </x:c>
      <x:c r="B15" s="26" t="str">
        <x:v>review_0218</x:v>
      </x:c>
      <x:c r="C15" s="26" t="str">
        <x:v>chexpert_plus</x:v>
      </x:c>
      <x:c r="D15" s="27" t="str">
        <x:v>Lung Opacity</x:v>
      </x:c>
      <x:c r="E15" s="27" t="str">
        <x:v>NARRATIVE:
PORTABLE SEMI-UPRIGHT CHEST:  5/26/2009 AT 0552 HOURS
CLINICAL HISTORY:  A 68-year-old female, evaluate for
COMPARISON:  5/26/2009 at 1905 hours.
IMPRESSION:
1.         RIGHT INTERNAL JUGULAR CENTRAL VENOUS CATHETER IS IN
STABLE POSITION.  NO PNEUMOTHORAX IDENTIFIED.
2.         INTERVAL DEVELOPMENT OF BILATERAL LAYERING PLEURAL
EFFUSIONS, PULMONARY EDEMA, AND LEFT RETROCARDIAC OPACITIES.
3.         STABLE CARDIA AND MEDIASTINAL SILHOUETTE.
SUMMARY:4-POSSIBLE SIGNIFICANT FINDINGS, MAY NEED ACTION.
I have personally reviewed the images for this examination and agreed
with the report transcribed above.
ACCESSION NUMBER:
#04240392
This report has been anonymized. All dates are offset from the actual dates by a fixed interval associated with the patient.</x:v>
      </x:c>
      <x:c r="F15" s="27" t="str">
        <x:v>NARRATIVE:
SINGLE PORTABLE VIEW OF THE CHEST, 08-1-14:
COMPARISON:  Comparison is made with chest x-ray performed 1-14-08 at 0445 hours.
CLINICAL HISTORY:  69-year-old female with blood sputum.
IMPRESSION:
1.  THERE HAS BEEN INTERVAL RESOLUTION OF PREVIOUSLY DEMONSTRATED
LEFT LOWER LOBE OPACITY, BILATERAL PLEURAL EFFUSIONS, AND PULMONARY
EDEMA.  THERE IS NO FOCAL CONSOLIDATION ON THE CURRENT EXAMINATION.
2.  INTERVAL EXTUBATION.  THE RIGHT INTERNAL JUGULAR VENOUS LINE HAS
BEEN REPOSITIONED WITH ITS TIP SEEN MORE PROXIMALLY.  THERE IS ALSO A
COIL SEEN WITHIN THE LINE PROJECTING OVER THE RIGHT SUPRACLAVICULAR
REGION.  THIS MAY BE OUTSIDE OF THE PATIENT, HOWEVER, WOULD RECOMMEND
CORRELATION WITH PHYSICAL EXAMINATION.
3.  BILATERAL BREAST IMPLANTS.
END OF IMPRESSION:
SUMMARY:4-POSSIBLE SIGNIFICANT FINDINGS, MAY NEED ACTION
I have personally reviewed the images for this examination and agreed
with the report transcribed above.
ACCESSION NUMBER:
0665
This report has been anonymized. All dates are offset from the actual dates by a fixed interval associated with the patient.</x:v>
      </x:c>
      <x:c r="G15" s="28" t="str">
        <x:v>Resolved</x:v>
      </x:c>
      <x:c r="H15" s="29" t="str"/>
      <x:c r="I15" s="29" t="str"/>
      <x:c r="J15" s="29" t="str"/>
      <x:c r="K15" s="30"/>
      <x:c r="L15" s="29" t="str"/>
      <x:c r="M15" s="31" t="str">
        <x:f>IF(H15="","待填写标签",IF(AND(H15="Unusable",I15=""),"需填写不可用原因",IF(J15="","需填写审核人",IF(K15="","需填写日期","完成"))))</x:f>
        <x:v>待填写标签</x:v>
      </x:c>
    </x:row>
    <x:row r="16" ht="72" customHeight="1">
      <x:c r="A16" s="25" t="n">
        <x:v>15</x:v>
      </x:c>
      <x:c r="B16" s="26" t="str">
        <x:v>review_0034</x:v>
      </x:c>
      <x:c r="C16" s="26" t="str">
        <x:v>mimic_cxr_jpg</x:v>
      </x:c>
      <x:c r="D16" s="27" t="str">
        <x:v>Pleural Effusion</x:v>
      </x:c>
      <x:c r="E16" s="27" t="str">
        <x:v>FINAL REPORT
 CHEST RADIOGRAPH PERFORMED ON ___
 COMPARISON:  ___.
 CLINICAL HISTORY:  ___-year-old man, status post left lower lobe VATS wedge
 resection, assess for interval change.
 FINDINGS:  PA and lateral views of the chest were provided.  There is
 persistent blunting of the left CP angle which likely represents a small
 residual pleural effusion.  Trace effusion is also likely present on the
 right.  In general, there has been improved aeration at the right lung base. 
 There is likely residual compressive atelectasis at the left lung base.  The
 mid and upper lungs appear well aerated.  The cardiomediastinal silhouette
 appears normal.  Bony structures are intact.
 IMPRESSION:  Interval improvement in lower lung aeration with persistent
 effusions, left greater than right, with probable mild left basilar
 atelectasis.</x:v>
      </x:c>
      <x:c r="F16" s="27" t="str">
        <x:v>FINAL REPORT
 HISTORY:  Fever 1 month status post left lower lobectomy.
 COMPARISON:  ___ through ___.
 FINDINGS:
 PA and lateral chest radiographs were obtained.  Left lower lobe effusion and
 overlying dependent atelectasis have increased since ___.  Blunting of
 the right costophrenic angle is unchanged.  There is no additional airspace
 opacity or pneumothorax.  Cardiac and mediastinal contours are normal.
 IMPRESSION:
 Increasing left lower lobe effusion and overlying atelectasis may be part of
 post lobectomy changes in an asymptomatic patient.  Superimposed infection
 cannot be excluded in a symptomatic patient.</x:v>
      </x:c>
      <x:c r="G16" s="28" t="str">
        <x:v>Worse</x:v>
      </x:c>
      <x:c r="H16" s="29" t="str"/>
      <x:c r="I16" s="29" t="str"/>
      <x:c r="J16" s="29" t="str"/>
      <x:c r="K16" s="30"/>
      <x:c r="L16" s="29" t="str"/>
      <x:c r="M16" s="31" t="str">
        <x:f>IF(H16="","待填写标签",IF(AND(H16="Unusable",I16=""),"需填写不可用原因",IF(J16="","需填写审核人",IF(K16="","需填写日期","完成"))))</x:f>
        <x:v>待填写标签</x:v>
      </x:c>
    </x:row>
    <x:row r="17" ht="72" customHeight="1">
      <x:c r="A17" s="25" t="n">
        <x:v>16</x:v>
      </x:c>
      <x:c r="B17" s="26" t="str">
        <x:v>review_0214</x:v>
      </x:c>
      <x:c r="C17" s="26" t="str">
        <x:v>chexpert_plus</x:v>
      </x:c>
      <x:c r="D17" s="27" t="str">
        <x:v>Lung Opacity</x:v>
      </x:c>
      <x:c r="E17" s="27" t="str">
        <x:v>NARRATIVE:
Chest 1 View, 4/20/08
HISTORY: 53 years Male, Line placement.
COMPARISON: Single view of the chest x 2: 4/20/2008 and 
april 20
IMPRESSION:  
1.4/20/2008: INTERVAL EXTUBATION WITH STABLE POSITIONING OF A 
RIGHT INTERNAL JUGULAR CATHETER AND FEEDING TUBE.  CARDIOMEGALY 
UNCHANGED.  WORSENING DIFFUSE RETICULAR PATTERN WITH MORE FOCAL 
BASILAR CONSOLIDATION, CONSIDER EDEMA VERSUS INFECTION VERSUS 
ASPIRATION.  BILATERAL PLEURAL EFFUSIONS, RIGHT GREATER THAN LEFT.
2.08/4/20: FINDINGS AS NOTED ABOVE WITH NO SIGNIFICANT 
INTERVAL CHANGE.
SUMMARY: 4-POSSIBLE SIGNIFICANT FINDING, MAY NEED ACTION.
I have personally reviewed the images for this examination and agreed
with the report transcribed above.
ACCESSION NUMBER:
#8-3-8-9-9-3-2-1-0-9-8-3-8
This report has been anonymized. All dates are offset from the actual dates by a fixed interval associated with the patient.</x:v>
      </x:c>
      <x:c r="F17" s="27" t="str">
        <x:v>NARRATIVE:
Chest 1 View, 2/21/2014
HISTORY: 53 years Male, Fluid status
COMPARISON: 2/21/2014
IMPRESSION:  
1.SUPPORT EQUIPMENT IS STABLE.  STABLE MODERATE RIGHT PLEURAL 
EFFUSION AND SMALL LEFT PLEURAL EFFUSION.  IMPROVED BIBASILAR 
OPACITIES.
SUMMARY: 2-ABNORMAL, PREVIOUSLY REPORTED
I have personally reviewed the images for this examination and agreed
with the report transcribed above.
ACCESSION NUMBER:
#56637
This report has been anonymized. All dates are offset from the actual dates by a fixed interval associated with the patient.</x:v>
      </x:c>
      <x:c r="G17" s="28" t="str">
        <x:v>Improved</x:v>
      </x:c>
      <x:c r="H17" s="29" t="str"/>
      <x:c r="I17" s="29" t="str"/>
      <x:c r="J17" s="29" t="str"/>
      <x:c r="K17" s="30"/>
      <x:c r="L17" s="29" t="str"/>
      <x:c r="M17" s="31" t="str">
        <x:f>IF(H17="","待填写标签",IF(AND(H17="Unusable",I17=""),"需填写不可用原因",IF(J17="","需填写审核人",IF(K17="","需填写日期","完成"))))</x:f>
        <x:v>待填写标签</x:v>
      </x:c>
    </x:row>
    <x:row r="18" ht="72" customHeight="1">
      <x:c r="A18" s="25" t="n">
        <x:v>17</x:v>
      </x:c>
      <x:c r="B18" s="26" t="str">
        <x:v>review_0081</x:v>
      </x:c>
      <x:c r="C18" s="26" t="str">
        <x:v>mimic_cxr_jpg</x:v>
      </x:c>
      <x:c r="D18" s="27" t="str">
        <x:v>Edema</x:v>
      </x:c>
      <x:c r="E18" s="27" t="str">
        <x:v>FINAL REPORT
 PORTABLE AP CHEST X-RAY
 INDICATION:  Patient with HRS, looking for SBP.  Please evaluation for
 pneumonia.
 COMPARISON:  ___.
 FINDINGS:
 There is no new lung consolidation.  New left lower lung atelectatic band is
 minimal. Mild pulmonary cephalization is compatible with volume overload. 
 There is no pneumothorax.  Mediastinal and cardiac contours are top normal.
 CONCLUSION:
 1.  There is no pneumonia.
 2.  Volume overload is mild.</x:v>
      </x:c>
      <x:c r="F18" s="27" t="str">
        <x:v>FINAL REPORT
 INDICATION:  ___-year-old female with dyspnea
 COMPARISON:  Chest radiograph from ___ at 22:04, chest
 radiograph from ___ and CT abdomen/pelvis from ___ at 2:06
 am.  
 PORTABLE FRONTAL CHEST RADIOGRAPH:  Lung volumes are low.  There is pulmonary
 vascular congestion and hilar enlargement suggestive of volume overload. 
 Additionally, there is opacification of the left lung base, which correlates
 with atelectasis and a moderate effusion seen on concurrent CT abdomen/pelvis.
 Asymmetric radial opacities originating from the left hilus may be due to
 lymphatic engorgement due to congestion.  However, consider repeat radiograph
 after diuresis/drainage to ensure resolution.  If finding persists, CT is
 warranted to exclude underlying mass.  No pneumothorax is evident.  Mild
 cardiomegaly is noted.
 IMPRESSION:
 1.  Moderate pulmonary vascular congestion, similar to recent prior.
 2.  Moderate left pleural effusion and associated atelectasis
 3.  Left hilar fullness likely due to lymphatic engorgement from congestion. 
 If finding persists, chest CT is recommended.</x:v>
      </x:c>
      <x:c r="G18" s="28" t="str">
        <x:v>Worse</x:v>
      </x:c>
      <x:c r="H18" s="29" t="str"/>
      <x:c r="I18" s="29" t="str"/>
      <x:c r="J18" s="29" t="str"/>
      <x:c r="K18" s="30"/>
      <x:c r="L18" s="29" t="str"/>
      <x:c r="M18" s="31" t="str">
        <x:f>IF(H18="","待填写标签",IF(AND(H18="Unusable",I18=""),"需填写不可用原因",IF(J18="","需填写审核人",IF(K18="","需填写日期","完成"))))</x:f>
        <x:v>待填写标签</x:v>
      </x:c>
    </x:row>
    <x:row r="19" ht="72" customHeight="1">
      <x:c r="A19" s="25" t="n">
        <x:v>18</x:v>
      </x:c>
      <x:c r="B19" s="26" t="str">
        <x:v>review_0235</x:v>
      </x:c>
      <x:c r="C19" s="26" t="str">
        <x:v>chexpert_plus</x:v>
      </x:c>
      <x:c r="D19" s="27" t="str">
        <x:v>Pneumothorax</x:v>
      </x:c>
      <x:c r="E19" s="27" t="str">
        <x:v>NARRATIVE:
EXAM: 7/31/13 
COMPARISON: 7-31-2013 MDYTKSPTCCYR
HISTORY: 67 years Male with Critical  care follow-up(ICU)
IMPRESSION:
1.SUPINE CHEST X-RAY DEMONSTRATES ENDOTRACHEAL TUBE, WITH TIP 5.5 CM 
ABOVE THE CARINA.  INTERVAL PLACEMENT OF NASOGASTRIC TUBE, TIP NOT 
VISUALIZED.  STABLE POSITION OF RIGHT CHEST PIGTAIL CATHETER.
2.NO PNEUMOTHORAX IDENTIFIED.
3.INTERVAL INCREASE IN LEFT BASE OPACITY, WHICH IS OBSCURED BY 
OVERLYING LINES.  RIGHT LUNG CLEAR.
SUMMARY:4-POSSIBLY SIGNIFICANT FINDING, MAY NEED ACTION
I have personally reviewed the images for this examination and agreed
with the report transcribed above.
ACCESSION NUMBER:
963745
This report has been anonymized. All dates are offset from the actual dates by a fixed interval associated with the patient.</x:v>
      </x:c>
      <x:c r="F19" s="27" t="str">
        <x:v>NARRATIVE:
Exam: Chest 1 View, 07/02/04
Clinical History: 67 years Male with pneumothorax, chest tube on 
water seal
Comparison: 7-2-04
IMPRESSION:
1.AP ERECT CHEST RADIOGRAPHS DEMONSTRATES A NORMAL CARDIOMEDIASTINAL 
SILHOUETTE.
2.A RIGHT-SIDED PIGTAIL IS SEEN IN THE RIGHT HEMITHORAX.  INCREASING 
SUBCUTANEOUS EMPHYSEMA IS SEEN ALONG THE RIGHT LATERAL CHEST WALL AND 
BILATERALLY IN THE LOWER NECK.  SUBCUTANEOUS EMPHYSEMA IS ALSO NOW 
SEEN IN THE LEFT CHEST WALL, NOT APPARENT ON PRIOR FILMS.  THE SMALL 
RIGHT-SIDED PNEUMOTHORAX HAS NOW RESOLVED.  NO PNEUMOMEDIASTINUM.  
THE LUNGS APPEAR CLEAR.
3.DEFORMITY OF THE RIGHT THIRD RIB, LIKELY POSTSURGICAL.
SUMMARY:4-POSSIBLY SIGNIFICANT FINDING, MAY NEED ACTION
ACCESSION NUMBER:
AJOKS
This report has been anonymized. All dates are offset from the actual dates by a fixed interval associated with the patient.</x:v>
      </x:c>
      <x:c r="G19" s="28" t="str">
        <x:v>Resolved</x:v>
      </x:c>
      <x:c r="H19" s="29" t="str"/>
      <x:c r="I19" s="29" t="str"/>
      <x:c r="J19" s="29" t="str"/>
      <x:c r="K19" s="30"/>
      <x:c r="L19" s="29" t="str"/>
      <x:c r="M19" s="31" t="str">
        <x:f>IF(H19="","待填写标签",IF(AND(H19="Unusable",I19=""),"需填写不可用原因",IF(J19="","需填写审核人",IF(K19="","需填写日期","完成"))))</x:f>
        <x:v>待填写标签</x:v>
      </x:c>
    </x:row>
    <x:row r="20" ht="72" customHeight="1">
      <x:c r="A20" s="25" t="n">
        <x:v>19</x:v>
      </x:c>
      <x:c r="B20" s="26" t="str">
        <x:v>review_0123</x:v>
      </x:c>
      <x:c r="C20" s="26" t="str">
        <x:v>mimic_cxr_jpg</x:v>
      </x:c>
      <x:c r="D20" s="27" t="str">
        <x:v>Pleural Effusion</x:v>
      </x:c>
      <x:c r="E20" s="27" t="str">
        <x:v>FINAL REPORT
 CHEST RADIOGRAPH
 INDICATION:  Respiratory failure, evaluation for pulmonary edema.
 COMPARISON:  ___.
 FINDINGS:  As compared to the previous radiograph, the changes are minimal. 
 The opacity at the bases of the right upper lobe is constant in extent and
 severity.  The right pigtail catheter in the pleural space is in unchanged
 position.  Unchanged moderate left pleural effusion, unchanged overall
 mild-to-moderate pulmonary edema.  The size and appearance of the cardiac
 silhouette is constant.  The left pectoral pacemaker is in unchanged position.</x:v>
      </x:c>
      <x:c r="F20" s="27" t="str">
        <x:v>FINAL REPORT
 CHEST RADIOGRAPH
 INDICATION:  Pneumothorax with chest tube clamped.  Evaluation.
 COMPARISON:  ___.
 FINDINGS:  As compared to the previous radiograph, the chest tube has been
 clamped.  The lung volumes have slightly increased, potentially indicating
 improved ventilation.  There is no evidence of a right pneumothorax.  On the
 left, the preexisting pleural effusion is unchanged.  Unchanged left basal
 atelectasis and moderate cardiomegaly with mild-to-moderate pulmonary edema. 
 Unchanged position of the pacemaker leads, unchanged tracheostomy tube.</x:v>
      </x:c>
      <x:c r="G20" s="28" t="str">
        <x:v>Stable</x:v>
      </x:c>
      <x:c r="H20" s="29" t="str"/>
      <x:c r="I20" s="29" t="str"/>
      <x:c r="J20" s="29" t="str"/>
      <x:c r="K20" s="30"/>
      <x:c r="L20" s="29" t="str"/>
      <x:c r="M20" s="31" t="str">
        <x:f>IF(H20="","待填写标签",IF(AND(H20="Unusable",I20=""),"需填写不可用原因",IF(J20="","需填写审核人",IF(K20="","需填写日期","完成"))))</x:f>
        <x:v>待填写标签</x:v>
      </x:c>
    </x:row>
    <x:row r="21" ht="72" customHeight="1">
      <x:c r="A21" s="25" t="n">
        <x:v>20</x:v>
      </x:c>
      <x:c r="B21" s="26" t="str">
        <x:v>review_0170</x:v>
      </x:c>
      <x:c r="C21" s="26" t="str">
        <x:v>mimic_cxr_jpg</x:v>
      </x:c>
      <x:c r="D21" s="27" t="str">
        <x:v>Edema</x:v>
      </x:c>
      <x:c r="E21" s="27" t="str">
        <x:v>FINAL REPORT
 EXAM:  Chest, semi-erect AP portable view.
 CLINICAL INFORMATION:  ___-year-old female with history of altered mental
 status.
 COMPARISON:  ___.
 FINDINGS:  Single AP portable view of the chest was obtained.  The patient is
 rotated to the right.  Central pulmonary vasculature remains engorged.  The
 cardiac silhouette remains moderate to markedly enlarged.  There is mild
 bibasilar atelectasis.  A trace right pleural effusion would be difficult to
 exclude.  No definite focal consolidation is seen.
 IMPRESSION:
 1.  Patient is rotated to the right.  Moderate-to-marked enlargement of the
 cardiac silhouette.
 2.  Central pulmonary vascular engorgement.
 3.  Areas of linear patchy bibasilar opacity most likely represent
 atelectasis.</x:v>
      </x:c>
      <x:c r="F21" s="27" t="str">
        <x:v>FINAL REPORT
 HISTORY:  Patient with systolic CHF evaluate for interval change.
 COMPARISON:  Portable chest radiograph ___.  
 FINDINGS:
 Moderate cardiomegaly is slightly improved from ___.  Improved
 vascular congestion with no focal consolidation, pleural effusion or
 pneumothorax.  
 IMPRESSION:
 Improved vascular congestion from ___.</x:v>
      </x:c>
      <x:c r="G21" s="28" t="str">
        <x:v>Improved</x:v>
      </x:c>
      <x:c r="H21" s="29" t="str"/>
      <x:c r="I21" s="29" t="str"/>
      <x:c r="J21" s="29" t="str"/>
      <x:c r="K21" s="30"/>
      <x:c r="L21" s="29" t="str"/>
      <x:c r="M21" s="31" t="str">
        <x:f>IF(H21="","待填写标签",IF(AND(H21="Unusable",I21=""),"需填写不可用原因",IF(J21="","需填写审核人",IF(K21="","需填写日期","完成"))))</x:f>
        <x:v>待填写标签</x:v>
      </x:c>
    </x:row>
    <x:row r="22" ht="72" customHeight="1">
      <x:c r="A22" s="25" t="n">
        <x:v>21</x:v>
      </x:c>
      <x:c r="B22" s="26" t="str">
        <x:v>review_0020</x:v>
      </x:c>
      <x:c r="C22" s="26" t="str">
        <x:v>chexpert_plus</x:v>
      </x:c>
      <x:c r="D22" s="27" t="str">
        <x:v>Edema</x:v>
      </x:c>
      <x:c r="E22" s="27" t="str">
        <x:v>NARRATIVE:
CHEST:  2000 june
CLINICAL HISTORY:   An 84-year-old man with chest symptoms.
COMPARISON:  Frontal radiograph of the chest 6/3/2000.
FINDINGS:  Frontal radiograph of the chest 6/3/00 at 0247 hours 
demonstrates interval removal of a left-sided central line.  Low lung 
volumes are demonstrated.  The heart size is unchanged from the prior 
exam.  Enlarged hilar markings and prominent interstitial markings 
are again demonstrated consistent with pulmonary edema.  There is 
blunting of the costophrenic angle suggesting small effusions.  A 
dense retrocardiac opacity is present obscuring the left 
hemidiaphragm.  Superimposed infection is not excluded.  Visualized 
bony structures are unremarkable.
IMPRESSION: 
1.  PULMONARY EDEMA.  SMALL BILATERAL PLEURAL EFFUSIONS.
2.  BILATERAL, LEFT GREATER THAN RIGHT BIBASILAR OPACITIES.  
SUPERIMPOSED INFECTION IS NOT EXCLUDED.
SUMMARY:4-POSSIBLE SIGNIFICANT FINDINGS, MAY NEED ACTION 
I have personally reviewed the images for this examination and agreed
with the report transcribed above.
ACCESSION NUMBER:
7914911614
This report has been anonymized. All dates are offset from the actual dates by a fixed interval associated with the patient.</x:v>
      </x:c>
      <x:c r="F22" s="27" t="str">
        <x:v>NARRATIVE:
EXAMINATION:
PORTABLE Chest 1 View 19 MAY
PORTABLE Chest One View 5/19/2005 03: 42 hours
INDICATION: Postop
HISTORY: Male, 84 years old, postoperative, evaluate endotracheal 
tube 
COMPARISON: 5/19/2005 at 19:59 hours
FINDINGS: Portable chest shows  a postoperative thorax since the 
prior intraoperative chest with new  wire sternotomy sutures, and an 
endotracheal tube in good position above the carina, a right 
Swan-Ganz catheter with its tip in the main pulmonary artery and a 
widened mediastinum, bilateral interstitial edema and probable 
bilateral pleural fluid collections.  Findings are compatible with 
fluid overload.  There is no pneumothorax
Follow-up portable chest 5-19-05 at 03:42 hours is compared to 
5/19/2005 at 04: 08 hours.  There has been interval extubation.  
The mediastinum and cardiac shadow are larger, there are increased 
bilateral pleural pleural fluid collections and there is increasing 
pulmonary edema compatible with increasing fluid overload or CHF,   
The lines and tubes are stable, otherwise.     
IMPRESSION: 
1.POSTOPERATIVE THORAX AS DESCRIBED. Findings worrisome for pulmonary 
edema or fluid overload as above.
SUMMARY 4- POSSIBLE SIGNIFICANT FINDING, MAY NEED ACTION
ACCESSION NUMBER:
9LWAP
This report has been anonymized. All dates are offset from the actual dates by a fixed interval associated with the patient.</x:v>
      </x:c>
      <x:c r="G22" s="28" t="str">
        <x:v>Worse</x:v>
      </x:c>
      <x:c r="H22" s="29" t="str"/>
      <x:c r="I22" s="29" t="str"/>
      <x:c r="J22" s="29" t="str"/>
      <x:c r="K22" s="30"/>
      <x:c r="L22" s="29" t="str"/>
      <x:c r="M22" s="31" t="str">
        <x:f>IF(H22="","待填写标签",IF(AND(H22="Unusable",I22=""),"需填写不可用原因",IF(J22="","需填写审核人",IF(K22="","需填写日期","完成"))))</x:f>
        <x:v>待填写标签</x:v>
      </x:c>
    </x:row>
    <x:row r="23" ht="72" customHeight="1">
      <x:c r="A23" s="25" t="n">
        <x:v>22</x:v>
      </x:c>
      <x:c r="B23" s="26" t="str">
        <x:v>review_0158</x:v>
      </x:c>
      <x:c r="C23" s="26" t="str">
        <x:v>mimic_cxr_jpg</x:v>
      </x:c>
      <x:c r="D23" s="27" t="str">
        <x:v>Atelectasis</x:v>
      </x:c>
      <x:c r="E23" s="27" t="str">
        <x:v>FINAL REPORT
 EXAMINATION:  CHEST (PORTABLE AP)
 INDICATION:  ___M s/p motor scooter vs truck with splenic lac s/p embolization
 ___, chest tube for suspected PTX w/ ARDS  // interval change     interval
 change
 IMPRESSION: 
 In comparison with the study of ___, the right subclavian catheter
 again crosses into the left brachiocephalic vein. Endotracheal tube and
 nasogastric tube remain in good position. Left chest tube is in place and
 there is no definite pneumothorax. There is some increasing opacification at
 the left base, which could reflect aspiration or developing pneumonia. In a
 similar appearance is seen at the right base medially in the cardiophrenic
 angle.</x:v>
      </x:c>
      <x:c r="F23" s="27" t="str">
        <x:v>FINAL REPORT
 EXAMINATION:  CHEST (PORTABLE AP)
 INDICATION:  ___ year old man with ETT  // ETT position      ETT position
 IMPRESSION: 
 In comparison with the study of ___, the dense streak of atelectasis at
 the left base has cleared. Nevertheless, retrocardiac opacification is again
 consistent with atelectasis in the left lower lung. Less prominent changes are
 seen at the right base. The left chest tube remains in place and there is no
 evidence of pneumothorax.
 The endotracheal tube remains in good position, as does the nasogastric tube.
 The left subclavian catheter extends to the cavoatrial junction or possibly
 upper portion of the right atrium. The malpositioned right subclavian catheter
 has been removed.</x:v>
      </x:c>
      <x:c r="G23" s="28" t="str">
        <x:v>Improved</x:v>
      </x:c>
      <x:c r="H23" s="29" t="str"/>
      <x:c r="I23" s="29" t="str"/>
      <x:c r="J23" s="29" t="str"/>
      <x:c r="K23" s="30"/>
      <x:c r="L23" s="29" t="str"/>
      <x:c r="M23" s="31" t="str">
        <x:f>IF(H23="","待填写标签",IF(AND(H23="Unusable",I23=""),"需填写不可用原因",IF(J23="","需填写审核人",IF(K23="","需填写日期","完成"))))</x:f>
        <x:v>待填写标签</x:v>
      </x:c>
    </x:row>
    <x:row r="24" ht="72" customHeight="1">
      <x:c r="A24" s="25" t="n">
        <x:v>23</x:v>
      </x:c>
      <x:c r="B24" s="26" t="str">
        <x:v>review_0136</x:v>
      </x:c>
      <x:c r="C24" s="26" t="str">
        <x:v>chexpert_plus</x:v>
      </x:c>
      <x:c r="D24" s="27" t="str">
        <x:v>Lung Opacity</x:v>
      </x:c>
      <x:c r="E24" s="27" t="str">
        <x:v>NARRATIVE:
SINGLE PORTABLE SEMI-UPRIGHT VIEW OF THE CHEST:  3/2/2007 AT 0427 
HOURS.
CLINICAL HISTORY:  Fifty-three year-old man, evaluate drain placement 
and pleural effusions.
COMPARISON:  3/2/2007 at 0358 hours.
IMPRESSION: 
1.  EVALUATION IS LIMITED DUE TO THE NUMBER OF EKG LEADS OVERLYING 
THE PATIENT'S CHEST.  STABLE POSTOPERATIVE CHANGES.  THERE HAS BEEN 
INTERVAL REMOVAL OF A PREVIOUSLY EXISTING RIGHT INTERNAL JUGULAR 
CENTRAL VENOUS CATHETER.  OTHER SUPPORTING DEVICES ARE UNCHANGED.  
2.  NO SIGNIFICANT INTERVAL CHANGE IN CARDIOPULMONARY STATUS WITH 
REDEMONSTRATION OF BIBASILAR AIRSPACE OPACITIES, MILD INTERSTITIAL 
PULMONARY EDEMA AND PROBABLE LEFT PLEURAL EFFUSION.  THERE IS MILD 
BLUNTING OF THE RIGHT COSTOPHRENIC ANGLE WITHOUT DISCRETE PLEURAL 
EFFUSION.  CARDIOMEDIASTINAL SILHOUETTE IS STABLE.
SUMMARY:4-POSSIBLE SIGNIFICANT FINDINGS, MAY NEED ACTION
ACCESSION NUMBER:
0351250
This report has been anonymized. All dates are offset from the actual dates by a fixed interval associated with the patient.</x:v>
      </x:c>
      <x:c r="F24" s="27" t="str">
        <x:v>NARRATIVE:
SINGLE VIEW CHEST:  7-1-2007, 0353 HOURS
CLINICAL HISTORY:  A 53-year-old male with drain evaluation and 
pleural effusion.
IMPRESSION:
1.  SINGLE FRONTAL VIEW OF THE CHEST DONE ON 7/1/2007 AT 0353 HOURS 
DEMONSTRATES A LEFT PICC LINE SEEN AT THE MID-SVC, PERICARDIAL DRAIN, 
LVAD DEVICE, MEDIASTINAL DRAIN, LEFT CHEST TUBE.
2.  LOW LUNG VOLUMES.  CARDIOMEGALY.  NO EVIDENCE OF PULMONARY EDEMA.  
STABLE LEFT BASE OPACITY.  
SUMMARY:2-ABNORMAL, PREVIOUSLY REPORTED 
I have personally reviewed the images for this examination and agreed
with the report transcribed above.
ACCESSION NUMBER:
18467311220
This report has been anonymized. All dates are offset from the actual dates by a fixed interval associated with the patient.</x:v>
      </x:c>
      <x:c r="G24" s="28" t="str">
        <x:v>Improved</x:v>
      </x:c>
      <x:c r="H24" s="29" t="str"/>
      <x:c r="I24" s="29" t="str"/>
      <x:c r="J24" s="29" t="str"/>
      <x:c r="K24" s="30"/>
      <x:c r="L24" s="29" t="str"/>
      <x:c r="M24" s="31" t="str">
        <x:f>IF(H24="","待填写标签",IF(AND(H24="Unusable",I24=""),"需填写不可用原因",IF(J24="","需填写审核人",IF(K24="","需填写日期","完成"))))</x:f>
        <x:v>待填写标签</x:v>
      </x:c>
    </x:row>
    <x:row r="25" ht="72" customHeight="1">
      <x:c r="A25" s="25" t="n">
        <x:v>24</x:v>
      </x:c>
      <x:c r="B25" s="26" t="str">
        <x:v>review_0196</x:v>
      </x:c>
      <x:c r="C25" s="26" t="str">
        <x:v>mimic_cxr_jpg</x:v>
      </x:c>
      <x:c r="D25" s="27" t="str">
        <x:v>Lung Opacity</x:v>
      </x:c>
      <x:c r="E25" s="27" t="str">
        <x:v>FINAL REPORT
 INDICATION:  URI symptoms and dyspnea.
 COMPARISONS:  Chest radiograph from ___.
 TECHNIQUE:  PA and lateral views of the chest were obtained.  
 FINDINGS:  There is an ill-defined hazy opacity at the left base, which is not
 visualized on the lateral.  There is also a streaky linear opacity with an
 associated round opacity at the right base.  No dense airspace consolidation
 is identified.  There is no pulmonary edema, pleural effusion, or
 pneumothorax.  The cardiomediastinal silhouette is normal.
 IMPRESSION:  Bibasilar opacities, which are concerning for pneumonia. 
 Recommend repeat radiographs after treatment in 4 weeks to ensure resolution,
 particularly of the rounded right lower lobe opacity.  
 Results were discussed with Dr. ___ at 2 a.m. on ___ via telephone by Dr.
 ___ at the time the findings were discovered.  Additionally, results,
 specifically about the rounded opacity and follow-up were discussed with Dr.
 ___ at 15:15 PM on ___ via telephone by Dr. ___.</x:v>
      </x:c>
      <x:c r="F25" s="27" t="str">
        <x:v>FINAL REPORT
 PA AND LATERAL CHEST X-RAY
 INDICATION:  Patient with bilateral lower lobe opacities, evaluate for
 resolution.
 COMPARISON:  X-rays from ___ to ___.
 FINDINGS:
 Bilateral opacities have resolved.  Previous right lung base nodule is
 presumed to be the nipple and not seen anymore on this chest x-ray.  There is
 no pleural effusion or pneumothorax.  Mediastinal and cardiac contours are
 normal.
 CONCLUSION:
 Bibasilar pneumonia has completely resolved.</x:v>
      </x:c>
      <x:c r="G25" s="28" t="str">
        <x:v>Resolved</x:v>
      </x:c>
      <x:c r="H25" s="29" t="str"/>
      <x:c r="I25" s="29" t="str"/>
      <x:c r="J25" s="29" t="str"/>
      <x:c r="K25" s="30"/>
      <x:c r="L25" s="29" t="str"/>
      <x:c r="M25" s="31" t="str">
        <x:f>IF(H25="","待填写标签",IF(AND(H25="Unusable",I25=""),"需填写不可用原因",IF(J25="","需填写审核人",IF(K25="","需填写日期","完成"))))</x:f>
        <x:v>待填写标签</x:v>
      </x:c>
    </x:row>
    <x:row r="26" ht="72" customHeight="1">
      <x:c r="A26" s="25" t="n">
        <x:v>25</x:v>
      </x:c>
      <x:c r="B26" s="26" t="str">
        <x:v>review_0142</x:v>
      </x:c>
      <x:c r="C26" s="26" t="str">
        <x:v>mimic_cxr_jpg</x:v>
      </x:c>
      <x:c r="D26" s="27" t="str">
        <x:v>Edema</x:v>
      </x:c>
      <x:c r="E26" s="27" t="str">
        <x:v>FINAL REPORT
 CHEST RADIOGRAPH
 TECHNIQUE:  PA and lateral chest views were reviewed in comparison with prior
 chest radiograph from ___.
 IMPRESSION:  Bilateral lung volumes are low.  Mild-to-moderately enlarged
 heart size may be exaggerated by low lung volumes.  Central pulmonary
 vasculature is mildly prominent suggestive of mild pulmonary vascular
 congestion, but no over edema. Increased retrocardiac opacity suggestes lower
 lung atelectasis and given low lung volumes, any element of concurrent
 pneumonia cannot be ruled out.  Upper lungs are clear.  There is no pleural
 abnormality.</x:v>
      </x:c>
      <x:c r="F26" s="27" t="str">
        <x:v>FINAL REPORT
 AP CHEST, 6:20 A.M. ON ___
 HISTORY:  Hypertension, diabetes, atrial flutter.  Recent pulmonary edema. 
 Acute hypoxia and tachypnea.
 IMPRESSION:  AP chest compared to ___:
 Lung volumes remain quite low.  Relatively mild interstitial edema and
 pulmonary vascular congestion are stable.  Heart is mildly enlarged.  Of note,
 a chest CTA in ___ showed substantial pulmonary hypertension.  Overall,
 findings suggest COPD and probable chronic CO2 retention.</x:v>
      </x:c>
      <x:c r="G26" s="28" t="str">
        <x:v>New</x:v>
      </x:c>
      <x:c r="H26" s="29" t="str"/>
      <x:c r="I26" s="29" t="str"/>
      <x:c r="J26" s="29" t="str"/>
      <x:c r="K26" s="30"/>
      <x:c r="L26" s="29" t="str"/>
      <x:c r="M26" s="31" t="str">
        <x:f>IF(H26="","待填写标签",IF(AND(H26="Unusable",I26=""),"需填写不可用原因",IF(J26="","需填写审核人",IF(K26="","需填写日期","完成"))))</x:f>
        <x:v>待填写标签</x:v>
      </x:c>
    </x:row>
    <x:row r="27" ht="72" customHeight="1">
      <x:c r="A27" s="25" t="n">
        <x:v>26</x:v>
      </x:c>
      <x:c r="B27" s="26" t="str">
        <x:v>review_0103</x:v>
      </x:c>
      <x:c r="C27" s="26" t="str">
        <x:v>mimic_cxr_jpg</x:v>
      </x:c>
      <x:c r="D27" s="27" t="str">
        <x:v>Pneumothorax</x:v>
      </x:c>
      <x:c r="E27" s="27" t="str">
        <x:v>WET READ: ___ ___ ___ 3:43 AM
  ET tube low.  Pull back 2-3 cm.  
 ______________________________________________________________________________
                                 FINAL REPORT
 HISTORY:  Intubated, evaluate endotracheal tube.
 COMPARISON:  None available.
 TECHNIQUE:  Frontal chest radiograph, single view.
 FINDINGS:  Heart size is normal.  Cardiomediastinal silhouette is
 unremarkable.  Hilar contours are unremarkable.  Endotracheal tube is in
 place, 1.3 cm cranial to the carina and should be withdrawn by 2-3 cm.  A
 right-sided chest tube is in place but appears suboptimally positioned with
 excessive angulation at the side port.  There are bibasilar right greater than
 left parenchymal opacities, likely representing atelectasis.  There is no
 large effusion.  There is a tiny right sided pneumothorax inferior to the
 chest tube entry site
 IMPRESSION:  
 1. Endotracheal tube terminates 1.3 cm cranial to the carina and should be
 pulled back by 2-3 cm.  
 2. Bibasilar right greater than left opacities could represent either
 atelectasis or aspiration.
 3. Suboptimal positioning of right chest tube along with small pneumothorax
 inferior to chest tube entry site.</x:v>
      </x:c>
      <x:c r="F27" s="27" t="str">
        <x:v>FINAL REPORT
 CHEST RADIOGRAPH.
 INDICATION:  Pneumothorax from traumatic line placement.  Evaluation.
 COMPARISON:  ___, 3:35 a.m.
 FINDINGS:  As compared to the previous radiograph, there is unchanged evidence
 of a small basal right pneumothorax.  The maximum of the small air collection
 is now located medially.  There is blunting of the right costophrenic sinus,
 so that the presence of a minimal right pleural effusion cannot be excluded. 
 The position of the endotracheal tube, the right chest tube and the
 nasogastric tube are unchanged.  No evidence of tension.</x:v>
      </x:c>
      <x:c r="G27" s="28" t="str">
        <x:v>Stable</x:v>
      </x:c>
      <x:c r="H27" s="29" t="str"/>
      <x:c r="I27" s="29" t="str"/>
      <x:c r="J27" s="29" t="str"/>
      <x:c r="K27" s="30"/>
      <x:c r="L27" s="29" t="str"/>
      <x:c r="M27" s="31" t="str">
        <x:f>IF(H27="","待填写标签",IF(AND(H27="Unusable",I27=""),"需填写不可用原因",IF(J27="","需填写审核人",IF(K27="","需填写日期","完成"))))</x:f>
        <x:v>待填写标签</x:v>
      </x:c>
    </x:row>
    <x:row r="28" ht="72" customHeight="1">
      <x:c r="A28" s="25" t="n">
        <x:v>27</x:v>
      </x:c>
      <x:c r="B28" s="26" t="str">
        <x:v>review_0043</x:v>
      </x:c>
      <x:c r="C28" s="26" t="str">
        <x:v>mimic_cxr_jpg</x:v>
      </x:c>
      <x:c r="D28" s="27" t="str">
        <x:v>Atelectasis</x:v>
      </x:c>
      <x:c r="E28" s="27" t="str">
        <x:v>FINAL REPORT
 STUDY:  AP chest, ___.
 HISTORY:  ___-year-old man status post CABG.  Evaluate for pneumothorax.
 FINDINGS:  The Swan___ catheter has been removed.  Median sternotomy wires
 are intact.  Lungs are clear.  There is a small right-sided pleural effusion,
 which is new.  There are no pneumothoraces.</x:v>
      </x:c>
      <x:c r="F28" s="27" t="str">
        <x:v>FINAL REPORT
 PA AND LATERAL CHEST X-RAY OF ___
 COMPARISON:  ___.
 FINDINGS:  The patient is status post recent median sternotomy and coronary
 artery bypass surgery.  Cardiomediastinal contours are stable in the
 post-operative period.  Tiny left apical pneumothorax is present.  Bibasilar
 atelectasis is present, slightly improved on the right and worse on the left. 
 Small pleural effusions are also noted.
 IMPRESSION:
 1.  Bibasilar atelectasis and small pleural effusions.  
 2.  Tiny left apical pneumothorax.</x:v>
      </x:c>
      <x:c r="G28" s="28" t="str">
        <x:v>New</x:v>
      </x:c>
      <x:c r="H28" s="29" t="str"/>
      <x:c r="I28" s="29" t="str"/>
      <x:c r="J28" s="29" t="str"/>
      <x:c r="K28" s="30"/>
      <x:c r="L28" s="29" t="str"/>
      <x:c r="M28" s="31" t="str">
        <x:f>IF(H28="","待填写标签",IF(AND(H28="Unusable",I28=""),"需填写不可用原因",IF(J28="","需填写审核人",IF(K28="","需填写日期","完成"))))</x:f>
        <x:v>待填写标签</x:v>
      </x:c>
    </x:row>
    <x:row r="29" ht="72" customHeight="1">
      <x:c r="A29" s="25" t="n">
        <x:v>28</x:v>
      </x:c>
      <x:c r="B29" s="26" t="str">
        <x:v>review_0212</x:v>
      </x:c>
      <x:c r="C29" s="26" t="str">
        <x:v>mimic_cxr_jpg</x:v>
      </x:c>
      <x:c r="D29" s="27" t="str">
        <x:v>Pneumothorax</x:v>
      </x:c>
      <x:c r="E29" s="27" t="str">
        <x:v>FINAL REPORT
 EXAMINATION:  CHEST (PA AND LAT)
 INDICATION:  ___ year old woman with anterior ptx ? increase in size  // ?
 increase in ptx size perform @ 8pm
 IMPRESSION: 
 In comparison to prior radiograph from several hr earlier, a right pigtail
 pleural catheter has changed in position, and a moderate right pneumothorax
 has increased in size.  Additionally, a low resolve interface in the right mid
 lung region is suggestive of a hydro pneumothorax component.  No other
 relevant change since recent study.</x:v>
      </x:c>
      <x:c r="F29" s="27" t="str">
        <x:v>FINAL REPORT
 EXAMINATION:  CHEST (PA AND LAT)
 INDICATION:  ___ year old woman with ptx  // f/u PTX, perform @ 6 AM
 IMPRESSION: 
 In comparison to prior radiograph of 1 day earlier, right pigtail pleural
 catheter has slightly changed in position and a small to moderate right apical
 pneumothorax has decreased in size.  Slight improvement in extent of
 atelectasis at the right lung base.  Persistent subcutaneous emphysema in the
 right chest wall.</x:v>
      </x:c>
      <x:c r="G29" s="28" t="str">
        <x:v>Improved</x:v>
      </x:c>
      <x:c r="H29" s="29" t="str"/>
      <x:c r="I29" s="29" t="str"/>
      <x:c r="J29" s="29" t="str"/>
      <x:c r="K29" s="30"/>
      <x:c r="L29" s="29" t="str"/>
      <x:c r="M29" s="31" t="str">
        <x:f>IF(H29="","待填写标签",IF(AND(H29="Unusable",I29=""),"需填写不可用原因",IF(J29="","需填写审核人",IF(K29="","需填写日期","完成"))))</x:f>
        <x:v>待填写标签</x:v>
      </x:c>
    </x:row>
    <x:row r="30" ht="72" customHeight="1">
      <x:c r="A30" s="25" t="n">
        <x:v>29</x:v>
      </x:c>
      <x:c r="B30" s="26" t="str">
        <x:v>review_0079</x:v>
      </x:c>
      <x:c r="C30" s="26" t="str">
        <x:v>chexpert_plus</x:v>
      </x:c>
      <x:c r="D30" s="27" t="str">
        <x:v>Pleural Effusion</x:v>
      </x:c>
      <x:c r="E30" s="27" t="str">
        <x:v>NARRATIVE:
PORTABLE CHEST, ONE VIEW:  8/22/05.
CLINICAL HISTORY:  This is a 58-year-old woman, cardiogenic shock.
COMPARISON:  6/12/2013.
FINDINGS:  Prior median sternotomy with sternal wire sutures.
Left subclavian central venous line is unchanged in position with tip
in the proximal superior vena cava.
Bilateral retrocardiac opacities are unchanged.  This may represent
atelectasis.  However, infection cannot entirely be excluded.
Stable left pleural effusion.
IMPRESSION:
1.  NO SIGNIFICANT INTERVAL CHANGE.  PERSISTENT BILATERAL
RETROCARDIAC OPACITIES AND LEFT PLEURAL EFFUSION.
END OF IMPRESSION:
SUMMARY:4-POSSIBLE SIGNIFICANT FINDINGS, MAY NEED ACTION
I have personally reviewed the images for this examination and agreed
with the report transcribed above.
ACCESSION NUMBER:
Y B S N O C G L
This report has been anonymized. All dates are offset from the actual dates by a fixed interval associated with the patient.</x:v>
      </x:c>
      <x:c r="F30" s="27" t="str">
        <x:v>NARRATIVE:
PORTABLE CHEST SINGLE VIEW:  3/30/2006
COMPARISON:  3-30-06.
CLINICAL HISTORY:  58-year-old being evaluated for pulmonary
infiltrates.
IMPRESSION:
1.  SINGLE AP PORTABLE SEMIERECT VIEW OF THE CHEST DEMONSTRATES LEFT
SUBCLAVIAN CENTRAL VENOUS LINE IN UNCHANGED POSITION.  THERE ARE
BIBASILAR LEFT GREATER THAN RIGHT-SIDED OPACITIES REPRESENTING
ATELECTASIS OR CONSOLIDATION WITH INTERVAL INCREASING BILATERAL
PLEURAL EFFUSIONS.  SUPERIMPOSED MILD PULMONARY EDEMA SEEN.
END OF IMPRESSION:
SUMMARY:4-POSSIBLE SIGNIFICANT FINDINGS, MAY NEED ACTION
I have personally reviewed the images for this examination and agreed
with the report transcribed above.
ACCESSION NUMBER:
328492344
This report has been anonymized. All dates are offset from the actual dates by a fixed interval associated with the patient.</x:v>
      </x:c>
      <x:c r="G30" s="28" t="str">
        <x:v>Worse</x:v>
      </x:c>
      <x:c r="H30" s="29" t="str"/>
      <x:c r="I30" s="29" t="str"/>
      <x:c r="J30" s="29" t="str"/>
      <x:c r="K30" s="30"/>
      <x:c r="L30" s="29" t="str"/>
      <x:c r="M30" s="31" t="str">
        <x:f>IF(H30="","待填写标签",IF(AND(H30="Unusable",I30=""),"需填写不可用原因",IF(J30="","需填写审核人",IF(K30="","需填写日期","完成"))))</x:f>
        <x:v>待填写标签</x:v>
      </x:c>
    </x:row>
    <x:row r="31" ht="72" customHeight="1">
      <x:c r="A31" s="25" t="n">
        <x:v>30</x:v>
      </x:c>
      <x:c r="B31" s="26" t="str">
        <x:v>review_0194</x:v>
      </x:c>
      <x:c r="C31" s="26" t="str">
        <x:v>mimic_cxr_jpg</x:v>
      </x:c>
      <x:c r="D31" s="27" t="str">
        <x:v>Atelectasis</x:v>
      </x:c>
      <x:c r="E31" s="27" t="str">
        <x:v>FINAL REPORT
 CHEST RADIOGRAPH
 Indication: Urosepsis
 TECHNIQUE:  Portable semi-erect chest view was reviewed in comparison with
 prior chest radiographs through ___ with the most recent from
 ___.
 FINDINGS:  Over last 24 hours, the right perihilar lung consolidation
 concerning for pneumonia has worsened.  Consolidation in left lower lung has
 also minimally increased.  Bilateral mild pleural effusions are similar. 
 There is a persisting mild-to-moderate pulmonary edema, which has increased
 over last 24 hours.  Left internal jugular line ends at mid SVC.
 IMPRESSION:
 1.  Worsening pneumonia and mild-to-moderate pulmonary edema since ___.  Unchanged bilateral pleural effusions.</x:v>
      </x:c>
      <x:c r="F31" s="27" t="str">
        <x:v>FINAL REPORT
 INDICATION:  ___-year-old man with septic shock, now intubated, evaluate for ET
 tube placement.
 COMPARISON: ___.
 PORTABLE CHEST RADIOGRAPH: The ET tube is approximately 3.6 cm above the
 carina.  The feeding tube passes below the diaphragm with the tip not included
 in the field of view.  A left IJ catheter terminates at the level of the upper
 SVC.  Diffuse atelectasis is noted in the right upper lobe compared to the
 most recent prior examination.  Mild-to-moderate pulmonary edema is noted. 
 Consolidation in the perihilar region is unchanged from the most recent prior
 examination.
 IMPRESSION:
 1.  ET tube is 3.6 cm above the carina in size.
 2.  Increased atelectasis in the right upper lobe compared to the prior
 examination.
 3.  Stable consolidation in the right perihilar region, unchanged from the
 prior examination.
 4.  Mild-to-moderate pulmonary edema is unchanged from the prior examination.</x:v>
      </x:c>
      <x:c r="G31" s="28" t="str">
        <x:v>Worse</x:v>
      </x:c>
      <x:c r="H31" s="29" t="str"/>
      <x:c r="I31" s="29" t="str"/>
      <x:c r="J31" s="29" t="str"/>
      <x:c r="K31" s="30"/>
      <x:c r="L31" s="29" t="str"/>
      <x:c r="M31" s="31" t="str">
        <x:f>IF(H31="","待填写标签",IF(AND(H31="Unusable",I31=""),"需填写不可用原因",IF(J31="","需填写审核人",IF(K31="","需填写日期","完成"))))</x:f>
        <x:v>待填写标签</x:v>
      </x:c>
    </x:row>
    <x:row r="32" ht="72" customHeight="1">
      <x:c r="A32" s="25" t="n">
        <x:v>31</x:v>
      </x:c>
      <x:c r="B32" s="26" t="str">
        <x:v>review_0042</x:v>
      </x:c>
      <x:c r="C32" s="26" t="str">
        <x:v>chexpert_plus</x:v>
      </x:c>
      <x:c r="D32" s="27" t="str">
        <x:v>Enlarged Cardiomediastinum</x:v>
      </x:c>
      <x:c r="E32" s="27" t="str">
        <x:v>NARRATIVE:
Chest 1 View: 6/13/2008
HISTORY: Female, 74 years old, Hypoxia, sepsis.
COMPARISON: 13 June 2008 at 00:54 hours.
IMPRESSION: 
Little change in the appearance of the chest when compared with 
6-13-2008 at 0054 hrs.
Moderate bilateral pleural effusions with bibasilar consolidation 
from atelectasis or pneumonia with prominent perihilar ground glass 
opacities which may be due to pulmonary edema, atypical infection or 
pulmonary hemorrhage.
Stable cardiomediastinal silhouette.
Right chest Mediport catheter with tip overlying the right atrium, 
unchanged in position.  Interval removal of a left internal jugular 
venous catheter.
SUMMARY:4-POSSIBLY SIGNIFICANT FINDING, MAY NEED ACTION
ACCESSION NUMBER:
60-66-46-98-08-5
This report has been anonymized. All dates are offset from the actual dates by a fixed interval associated with the patient.</x:v>
      </x:c>
      <x:c r="F32" s="27" t="str">
        <x:v>NARRATIVE:
Chest 1 View: 10-22-08
HISTORY: Female, 74 years old, Pulmonary edema.
COMPARISON: 10/22/08 and prior.
IMPRESSION: 
No significant change from 08-10-22.
Moderate bilateral pleural effusions with bibasilar consolidation 
from atelectasis or pneumonia with prominent perihilar ground glass 
opacities which may be due to pulmonary edema, atypical infection or 
pulmonary hemorrhage.
Stable cardiomediastinal silhouette.
Right chest Mediport catheter with tip overlying the right atrium, 
unchanged in position.
SUMMARY:2-ABNORMAL, PREVIOUSLY REPORTED
ACCESSION NUMBER:
7154407945477
This report has been anonymized. All dates are offset from the actual dates by a fixed interval associated with the patient.</x:v>
      </x:c>
      <x:c r="G32" s="28" t="str">
        <x:v>Stable</x:v>
      </x:c>
      <x:c r="H32" s="29" t="str"/>
      <x:c r="I32" s="29" t="str"/>
      <x:c r="J32" s="29" t="str"/>
      <x:c r="K32" s="30"/>
      <x:c r="L32" s="29" t="str"/>
      <x:c r="M32" s="31" t="str">
        <x:f>IF(H32="","待填写标签",IF(AND(H32="Unusable",I32=""),"需填写不可用原因",IF(J32="","需填写审核人",IF(K32="","需填写日期","完成"))))</x:f>
        <x:v>待填写标签</x:v>
      </x:c>
    </x:row>
    <x:row r="33" ht="72" customHeight="1">
      <x:c r="A33" s="25" t="n">
        <x:v>32</x:v>
      </x:c>
      <x:c r="B33" s="26" t="str">
        <x:v>review_0178</x:v>
      </x:c>
      <x:c r="C33" s="26" t="str">
        <x:v>chexpert_plus</x:v>
      </x:c>
      <x:c r="D33" s="27" t="str">
        <x:v>Pleural Effusion</x:v>
      </x:c>
      <x:c r="E33" s="27" t="str">
        <x:v>NARRATIVE:
CHEST SINGLE VIEW; june 16 12
COMPARISON: 6/16/2012.
CLINICAL HISTORY: Twenty-two-year-old status post heart transplant
with pelvic mass.
IMPRESSION:
1. SINGLE, PORTABLE, FRONTAL, SUPINE VIEW OF THE CHEST
DEMONSTRATES NO INTERVAL CHANGE IN THE PATIENT'S LINES AND TUBES.
AGAIN DEMONSTRATED A RIGHT MODERATELY LARGE PLEURAL EFFUSION WITH
ASSOCIATED COMPRESSIVE ATELECTASIS. THERE IS SMALLER LEFT LOWER
LOBE ATELECTASIS AND EFFUSION AS WELL. THESE FINDINGS ARE STABLE
COMPARED TO THE PRIOR STUDY.
END OF IMPRESSION.
SUMMARY: 2 ABNORMAL, PREVIOUSLY REPORTED
I have personally reviewed the images for this examination and agree
with the report transcribed above.
By: clark, lowe  on: 6/16/2012
ACCESSION NUMBER:
w.Q.q.A.i.c.P.G.F
This report has been anonymized. All dates are offset from the actual dates by a fixed interval associated with the patient.</x:v>
      </x:c>
      <x:c r="F33" s="27" t="str">
        <x:v>NARRATIVE:
CHEST: December 12, 2008
IMPRESSION:
AP SEMI-ERECT FILM. THE POSITION OF LINES AND TUBES REMAIN
UNCHANGED SINCE PRIOR FILMS. THERE ARE MODERATE BILATERAL PLEURAL
EFFUSIONS, WHICH APPEAR SLIGHTLY INCREASED IN SIZE SINCE THE
PREVIOUS FILM DATED 12-12-2008. THERE IS ALSO INCREASED
OPACIFICATION IN THE RETROCARDIAC REGION, WHICH COULD REFLECT
SUPERIMPOSED CONSOLIDATION.
END OF IMPRESSION:
SUMMARY: 2 ABNORMAL, PREVIOUSLY REPORTED
ACCESSION NUMBER:
q6_wp_dy_68
This report has been anonymized. All dates are offset from the actual dates by a fixed interval associated with the patient.</x:v>
      </x:c>
      <x:c r="G33" s="28" t="str">
        <x:v>Worse</x:v>
      </x:c>
      <x:c r="H33" s="29" t="str"/>
      <x:c r="I33" s="29" t="str"/>
      <x:c r="J33" s="29" t="str"/>
      <x:c r="K33" s="30"/>
      <x:c r="L33" s="29" t="str"/>
      <x:c r="M33" s="31" t="str">
        <x:f>IF(H33="","待填写标签",IF(AND(H33="Unusable",I33=""),"需填写不可用原因",IF(J33="","需填写审核人",IF(K33="","需填写日期","完成"))))</x:f>
        <x:v>待填写标签</x:v>
      </x:c>
    </x:row>
    <x:row r="34" ht="72" customHeight="1">
      <x:c r="A34" s="25" t="n">
        <x:v>33</x:v>
      </x:c>
      <x:c r="B34" s="26" t="str">
        <x:v>review_0159</x:v>
      </x:c>
      <x:c r="C34" s="26" t="str">
        <x:v>chexpert_plus</x:v>
      </x:c>
      <x:c r="D34" s="27" t="str">
        <x:v>Pneumothorax</x:v>
      </x:c>
      <x:c r="E34" s="27" t="str">
        <x:v>NARRATIVE:
SINGLE VIEW PORTABLE CHEST: 6-21-10 AT 0615 HOURS
COMPARISON: 6/21/2010
CLINICAL DATA: Atrial flutter, evaluate for infiltrates.
IMPRESSION:
1. RIGHT CHEST TUBE AND RIGHT PIGTAIL CHEST TUBE REMAIN IN PLACE.
THE RIGHT PIGTAIL CHEST TUBE APPEARS KINKED INTERNALLY.
2. COMPARED TO THE PRIOR EXAMINATION, THE RIGHT BASE MASS LESION
IS DECREASED IN SIZE AND APPEARS TO BE RESOLVING. THERE IS A
PERSISTENT LEFT PLEURAL EFFUSION.
3. RETROCARDIAC OPACITY LIKELY REPRESENTS ATELECTASIS, INFECTION
CANNOT BE EXCLUDED.
END OF IMPRESSION:
SUMMARY: 4 POSSIBLE SIGNIFICANT FINDINGS, MAY NEED ACTION
I have personally reviewed the images for this examination and agree
with the report transcribed above.
By: Mooney, Michelle  on: 6-21-2010
 __________________________________
ACCESSION NUMBER:
1549588728Y
This report has been anonymized. All dates are offset from the actual dates by a fixed interval associated with the patient.</x:v>
      </x:c>
      <x:c r="F34" s="27" t="str">
        <x:v>NARRATIVE:
SINGLE CHEST: 6-3-20
COMPARISON: 6-3-2020
CLINICAL DATA: A flutter, check for infiltrates.
FINDINGS: Stable appearance of a right-sided chest tube and
hemithoracic pigtail catheter. No significant change in a small to
moderate right pleural effusion. There is redemonstration of left
pleural atelectasis. Overall, no significant interval change in the
appearance of lungs or the cardiomediastinal silhouette.
IMPRESSION:
1. NO SIGNIFICANT CHANGE IN THE APPEARANCE OF TWO RIGHT-SIDED
CHEST TUBES.
2. STABLE APPEARANCE OF A MODERATE RIGHT PNEUMOTHORAX.
3. PERSISTENT LEFT LOWER LOBE ATELECTASIS.
4. CARDIOMEDIASTINAL SILHOUETTE APPEARS UNCHANGED.
END OF IMPRESSION:
SUMMARY: 4 POSSIBLE SIGNIFICANT FINDINGS, MAY NEED ACTION
I have personally reviewed the images for this examination and agree
with the report transcribed above.
By: justina, urell  on: 06-03-20
 __________________________________
ACCESSION NUMBER:
MVT122834Q3RX
This report has been anonymized. All dates are offset from the actual dates by a fixed interval associated with the patient.</x:v>
      </x:c>
      <x:c r="G34" s="28" t="str">
        <x:v>New</x:v>
      </x:c>
      <x:c r="H34" s="29" t="str"/>
      <x:c r="I34" s="29" t="str"/>
      <x:c r="J34" s="29" t="str"/>
      <x:c r="K34" s="30"/>
      <x:c r="L34" s="29" t="str"/>
      <x:c r="M34" s="31" t="str">
        <x:f>IF(H34="","待填写标签",IF(AND(H34="Unusable",I34=""),"需填写不可用原因",IF(J34="","需填写审核人",IF(K34="","需填写日期","完成"))))</x:f>
        <x:v>待填写标签</x:v>
      </x:c>
    </x:row>
    <x:row r="35" ht="72" customHeight="1">
      <x:c r="A35" s="25" t="n">
        <x:v>34</x:v>
      </x:c>
      <x:c r="B35" s="26" t="str">
        <x:v>review_0152</x:v>
      </x:c>
      <x:c r="C35" s="26" t="str">
        <x:v>mimic_cxr_jpg</x:v>
      </x:c>
      <x:c r="D35" s="27" t="str">
        <x:v>Lung Opacity</x:v>
      </x:c>
      <x:c r="E35" s="27" t="str">
        <x:v>FINAL REPORT
 SINGLE FRONTAL VIEW OF THE CHEST
 REASON FOR EXAM:  Respiratory distress, crackles, followup pulmonary edema and
 pneumonia.
 Comparison is made with prior study ___.
 Moderate pulmonary edema has worsened.  Asymmetric increasing opacities in the
 right upper lobe, left lower lobe and right lower lobe are a combination of
 pulmonary edema and multifocal pneumonia.  There is no pneumothorax.  There is
 probably a small left pleural effusion.</x:v>
      </x:c>
      <x:c r="F35" s="27" t="str">
        <x:v>FINAL REPORT
 STUDY:  PA and lateral chest x-ray.
 COMPARISON EXAM:  Portable AP chest x-ray ___, PA and lateral chest
 x-ray ___.
 INDICATION:  ___-year-old with increased shortness of breath.
 FINDINGS:  There has been interval resolution of diffuse bilateral opacities
 seen on the most recent prior film.  Currently, the lungs are well expanded
 and clear.  There is mild cardiomegaly, and the mediastinal and hilar contours
 are stable.  There is no pulmonary edema or pulmonary vascular congestion.
 IMPRESSION:
 1.  Mild cardiomegaly without signs of heart failure.
 2.  No pneumonia.</x:v>
      </x:c>
      <x:c r="G35" s="28" t="str">
        <x:v>Resolved</x:v>
      </x:c>
      <x:c r="H35" s="29" t="str"/>
      <x:c r="I35" s="29" t="str"/>
      <x:c r="J35" s="29" t="str"/>
      <x:c r="K35" s="30"/>
      <x:c r="L35" s="29" t="str"/>
      <x:c r="M35" s="31" t="str">
        <x:f>IF(H35="","待填写标签",IF(AND(H35="Unusable",I35=""),"需填写不可用原因",IF(J35="","需填写审核人",IF(K35="","需填写日期","完成"))))</x:f>
        <x:v>待填写标签</x:v>
      </x:c>
    </x:row>
    <x:row r="36" ht="72" customHeight="1">
      <x:c r="A36" s="25" t="n">
        <x:v>35</x:v>
      </x:c>
      <x:c r="B36" s="26" t="str">
        <x:v>review_0003</x:v>
      </x:c>
      <x:c r="C36" s="26" t="str">
        <x:v>chexpert_plus</x:v>
      </x:c>
      <x:c r="D36" s="27" t="str">
        <x:v>Pneumothorax</x:v>
      </x:c>
      <x:c r="E36" s="27" t="str">
        <x:v>NARRATIVE:
RADIOGRAPHIC EXAMINATION OF THE CHEST: 8/31/2006
CLINICAL HISTORY: 40 years of age, Female, PTX.
COMPARISON: Chest radiograph 8-31-2006 1248 hours.
PROCEDURE COMMENTS: Single view of the chest. 
FINDINGS:
Accession #SOONZA:
There is stable positioning of the tracheostomy tube, left-sided 
chest tube, right upper extremity approach PICC line, and clamshell 
sternotomy wires.
Low lung volumes with interval increase in diffuse bilateral, right 
greater than left, airspace opacities. Retrocardiac opacity persists. 
Increased small loculated right effusion. Small left apical 
pneumothorax which is decreased. The cardiomediastinal silhouette is 
unchanged.
Accession soonza:
Stable positioning of support lines and tubes.  Increased lung 
volumes with improved bilateral hazy opacities and persistent 
bibasilar opacities. Increased left apical and basilar pneumothorax
.
Accession: 7266310295:
Stable positioning of support lines and tubes. Low lung volumes with 
persistent dense opacities at bilateral, right greater than left, 
lung bases. Persistent mild retrocardiac opacities. Decreased small 
loculated right effusion. Small left apical pneumothorax. The 
cardiomediastinal silhouette is unchanged.
IMPRESSION:
1.  Unchanged small left apical pneumothorax.
2.  Persistent grossly unchanged left retrocardiac and bibasilar 
ill-defined opacities which may represent aspiration, infection, or 
rejection.
"Physician to Physician Radiology Consult Line: +1(543) 465-3550"
I have personally reviewed the images for this examination and agreed
with the report transcribed above.
ACCESSION NUMBER:
72.66.31.02.95
This report has been anonymized. All dates are offset from the actual dates by a fixed interval associated with the patient.</x:v>
      </x:c>
      <x:c r="F36" s="27" t="str">
        <x:v>NARRATIVE:
RADIOGRAPHIC EXAMINATION OF THE CHEST: 5-6-2010
CLINICAL HISTORY: 40 years of age, Female, Ptx.
COMPARISON: 5/6/2010 at 05 12
PROCEDURE COMMENTS: Single view of the chest. 
FINDINGS:
05/06/2010 at 13:24: Right arm PICC line, tracheostomy cannula, 
clamshell cerclage wires are unchanged. Mediastinal clips are again 
seen.
Bibasilar predominant reticular opacities are unchanged. Bilateral 
small, right greater than left, pleural effusions are unchanged. 
Small left apical pneumothorax is unchanged. Cardiac silhouette is 
normal. 
5/6/10 at 15:15: Persistent small left apical pneumothorax. 
Otherwise, unchanged.
IMPRESSION:
1.  Persistent small left apical pneumothorax.
I have personally reviewed the images for this examination and agreed
with the report transcribed above.
ACCESSION NUMBER:
#805050
This report has been anonymized. All dates are offset from the actual dates by a fixed interval associated with the patient.</x:v>
      </x:c>
      <x:c r="G36" s="28" t="str">
        <x:v>Stable</x:v>
      </x:c>
      <x:c r="H36" s="29" t="str"/>
      <x:c r="I36" s="29" t="str"/>
      <x:c r="J36" s="29" t="str"/>
      <x:c r="K36" s="30"/>
      <x:c r="L36" s="29" t="str"/>
      <x:c r="M36" s="31" t="str">
        <x:f>IF(H36="","待填写标签",IF(AND(H36="Unusable",I36=""),"需填写不可用原因",IF(J36="","需填写审核人",IF(K36="","需填写日期","完成"))))</x:f>
        <x:v>待填写标签</x:v>
      </x:c>
    </x:row>
    <x:row r="37" ht="72" customHeight="1">
      <x:c r="A37" s="25" t="n">
        <x:v>36</x:v>
      </x:c>
      <x:c r="B37" s="26" t="str">
        <x:v>review_0191</x:v>
      </x:c>
      <x:c r="C37" s="26" t="str">
        <x:v>chexpert_plus</x:v>
      </x:c>
      <x:c r="D37" s="27" t="str">
        <x:v>Lung Lesion</x:v>
      </x:c>
      <x:c r="E37" s="27" t="str">
        <x:v>NARRATIVE:
Exam: Chest 2 Views 10-8-2007
Clinical History: 55 years Male with Hemoptysis
Comparison: 10/8/2007, CT dated October 08
IMPRESSION:
1.PA AND LATERAL VIEWS OF THE CHEST DEMONSTRATE A NEW RIGHT IJ 
MEDIPORT IN PLACE WITH TIP IN THE RIGHT ATRIUM.  
2.THE HEART IS BORDERLINE IN SIZE, SIMILAR COMPARED TO PRIOR EXAM.  A 
TORTUOUS THORACIC AORTA IS AGAIN SEEN.  NO PULMONARY EDEMA.  
3.MULTIPLE PULMONARY NODULES CONSISTENT WITH PATIENT'S KNOWN 
METASTASES APPEAR SOMEWHAT LARGER ON TODAY'S EXAM WHEN COMPARED TO 
PRIORS.
4.NO FOCAL CONSOLIDATION. THERE IS STABLE BLUNTING OF THE RIGHT 
COSTOPHRENIC ANGLE CONSISTENT WITH PATIENT'S KNOWN PLEURAL EFFUSION.
5.MULTIPLE SURGICAL CLIPS ARE SEEN WITHIN THE UPPER ABDOMEN.
6.NO ACUTE OSSEOUS ABNORMALITY.
SUMMARY:4-POSSIBLY SIGNIFICANT FINDING, MAY NEED ACTION
I have personally reviewed the images for this examination and agreed
with the report transcribed above.
ACCESSION NUMBER:
8556632397
This report has been anonymized. All dates are offset from the actual dates by a fixed interval associated with the patient.</x:v>
      </x:c>
      <x:c r="F37" s="27" t="str">
        <x:v>NARRATIVE:
Chest 2 Views 11/20/21
HISTORY: Angiosarcoma, s/p RT in NOVEMBER 20TH to right lung mass.
COMPARISON: Chest x-ray 11/20/21 and chest CT from 11-20-2021
TECHNIQUE: Upright PA and lateral views of the chest.
IMPRESSION:
1.  REDEMONSTRATION OF MULTIPLE BILATERAL PULMONARY NODULES, RANGING 
FROM STABLE TO SLIGHTLY ENLARGED.  THE MASSLIKE AIRSPACE OPACITY IN 
THE RIGHT LOWER LOBE APPEARS SLIGHTLY INCREASED IN SIZE.  PLEASE NOTE 
THAT CHEST CT WOULD BE MORE OPTIMAL FOR COMPARISON.
2.  SMALL RIGHT PLEURAL EFFUSION VERSUS PLEURAL THICKENING HAS 
SLIGHTLY WORSENED.  NO PNEUMOTHORAX EVIDENT. 
3.  STABLE CARDIOMEDIASTINAL SILHOUETTE.  RIGHT-SIDED PORT CATHETER 
UNCHANGED.
4. NO ACUTE OSSEOUS ABNORMALITY SEEN.
SUMMARY:4-POSSIBLY SIGNIFICANT FINDING, MAY NEED ACTION
ACCESSION NUMBER:
649718501
This report has been anonymized. All dates are offset from the actual dates by a fixed interval associated with the patient.</x:v>
      </x:c>
      <x:c r="G37" s="28" t="str">
        <x:v>Worse</x:v>
      </x:c>
      <x:c r="H37" s="29" t="str"/>
      <x:c r="I37" s="29" t="str"/>
      <x:c r="J37" s="29" t="str"/>
      <x:c r="K37" s="30"/>
      <x:c r="L37" s="29" t="str"/>
      <x:c r="M37" s="31" t="str">
        <x:f>IF(H37="","待填写标签",IF(AND(H37="Unusable",I37=""),"需填写不可用原因",IF(J37="","需填写审核人",IF(K37="","需填写日期","完成"))))</x:f>
        <x:v>待填写标签</x:v>
      </x:c>
    </x:row>
    <x:row r="38" ht="72" customHeight="1">
      <x:c r="A38" s="25" t="n">
        <x:v>37</x:v>
      </x:c>
      <x:c r="B38" s="26" t="str">
        <x:v>review_0094</x:v>
      </x:c>
      <x:c r="C38" s="26" t="str">
        <x:v>mimic_cxr_jpg</x:v>
      </x:c>
      <x:c r="D38" s="27" t="str">
        <x:v>Edema</x:v>
      </x:c>
      <x:c r="E38" s="27" t="str">
        <x:v>FINAL REPORT
 EXAMINATION:  Chest radiograph
 INDICATION:  Status post left thoracotomy vagotomy. Assess chest tube and
 pneumothorax.
 COMPARISON:  Chest radiograph ___, ___.
 FINDINGS: 
 Single portable frontal chest radiograph demonstrates interval placement of a
 left chest tube with tip projecting between the left posterior sixth and
 seventh ribs. Sideports are intrathoracic in appropriate position.
 The lungs are hypoinflated with vascular crowding and bibasilar atelectasis.
 New small left pleural effusion is present. No right pleural effusion. No
 pneumothorax. Enlargement of heart size is due to patient positioning and low
 lung volumes. Mediastinal contour and hila are unremarkable.
 Limited assessment of the upper abdomen is within normal limits.
 IMPRESSION: 
 1. Left chest tube in appropriate position. No pneumothorax.
 2. Hypoinflated lungs with vascular crowding and bibasilar atelectasis.
 3. New small left pleural effusion.</x:v>
      </x:c>
      <x:c r="F38" s="27" t="str">
        <x:v>FINAL REPORT
 EXAMINATION:  CHEST (PORTABLE AP)
 INDICATION:  ___F s/p RNY gastric bypass in ___ presenting with recurrent
 marginal ulcers refractory s/p L thoracotomy vagotomy  // Interval change.
 Please perform at 05:30.
 TECHNIQUE:  Single frontal view of the chest
 COMPARISON:  ___
 IMPRESSION: 
 There are persistent low lung volumes. Pulmonary edema has improved. Bibasilar
 atelectasis larger on the left are grossly unchanged. There is no evident
 pneumothorax. If any there are small bilateral effusions. widened mediastinum
 has improved. Cardiac size cannot be evaluated. Left chest tube remains in
 place.
 Surgical clips are present in the right upper quadrant. Residual contrast is
 present in the colon</x:v>
      </x:c>
      <x:c r="G38" s="28" t="str">
        <x:v>Improved</x:v>
      </x:c>
      <x:c r="H38" s="29" t="str"/>
      <x:c r="I38" s="29" t="str"/>
      <x:c r="J38" s="29" t="str"/>
      <x:c r="K38" s="30"/>
      <x:c r="L38" s="29" t="str"/>
      <x:c r="M38" s="31" t="str">
        <x:f>IF(H38="","待填写标签",IF(AND(H38="Unusable",I38=""),"需填写不可用原因",IF(J38="","需填写审核人",IF(K38="","需填写日期","完成"))))</x:f>
        <x:v>待填写标签</x:v>
      </x:c>
    </x:row>
    <x:row r="39" ht="72" customHeight="1">
      <x:c r="A39" s="25" t="n">
        <x:v>38</x:v>
      </x:c>
      <x:c r="B39" s="26" t="str">
        <x:v>review_0023</x:v>
      </x:c>
      <x:c r="C39" s="26" t="str">
        <x:v>mimic_cxr_jpg</x:v>
      </x:c>
      <x:c r="D39" s="27" t="str">
        <x:v>Lung Opacity</x:v>
      </x:c>
      <x:c r="E39" s="27" t="str">
        <x:v>FINAL REPORT
 EXAMINATION:  CHEST (PORTABLE AP)
 INDICATION:  ___ year old man with right intraparenchymal hemorrhage, pulmonary
 fibrosis now with resp failure  // eval for bilateral lung opacities
 TECHNIQUE:  Portable AP view of the chest.
 COMPARISON:  Chest radiograph on ___
 FINDINGS: 
 Tracheostomy is in place with the tracheostomy tip appropriately positioned. 
 A right-sided PICC terminates in the mid SVC. Widespread parenchymal opacities
 in both lungs, right greater than left, are not significantly changed.  There
 is a right apical pneumothorax.
 IMPRESSION: 
 Widespread, bilateral parenchymal opacities not significantly changed.
 Small right apical pneumothorax.
 NOTIFICATION:   These findings were communicated to Dr. ___ at 11:35 via
 telephone on ___ by Dr. ___</x:v>
      </x:c>
      <x:c r="F39" s="27" t="str">
        <x:v>FINAL REPORT
 INDICATION:  Chronically vented with trach and IPF, evaluate for interval
 change of right apical pneumothorax.
 COMPARISON:  ___ at 5:25.
 FINDINGS: 
 Portable frontal radiograph of the chest demonstrates ET tracheostomy tube in
 unchanged satisfactory position.  The right PICC is unchanged ending in the
 low SVC.  The apical pneumothorax is stable size compared to the prior study. 
 Otherwise there is slight improvement in the lung volumes with stable
 appearance of widespread parenchymal opacities in both lungs.</x:v>
      </x:c>
      <x:c r="G39" s="28" t="str">
        <x:v>Stable</x:v>
      </x:c>
      <x:c r="H39" s="29" t="str"/>
      <x:c r="I39" s="29" t="str"/>
      <x:c r="J39" s="29" t="str"/>
      <x:c r="K39" s="30"/>
      <x:c r="L39" s="29" t="str"/>
      <x:c r="M39" s="31" t="str">
        <x:f>IF(H39="","待填写标签",IF(AND(H39="Unusable",I39=""),"需填写不可用原因",IF(J39="","需填写审核人",IF(K39="","需填写日期","完成"))))</x:f>
        <x:v>待填写标签</x:v>
      </x:c>
    </x:row>
    <x:row r="40" ht="72" customHeight="1">
      <x:c r="A40" s="25" t="n">
        <x:v>39</x:v>
      </x:c>
      <x:c r="B40" s="26" t="str">
        <x:v>review_0147</x:v>
      </x:c>
      <x:c r="C40" s="26" t="str">
        <x:v>chexpert_plus</x:v>
      </x:c>
      <x:c r="D40" s="27" t="str">
        <x:v>Edema</x:v>
      </x:c>
      <x:c r="E40" s="27" t="str">
        <x:v>NARRATIVE:
CHEST AP PORTABLE: 5-8-01
COMPARISON: 10-03.
IMPRESSION:
1. RIGHT SIDED INTERNAL JUGULAR CENTRAL VENOUS CATHETER
DEMONSTRATES A LATERAL COURSE JUST BELOW THE LEVEL OF THE CLAVICLE.
THIS COULD BE DEVIATING TOWARD AN AXILLARY VEIN OR OTHER BRANCHING
VESSEL. THIS DOES NOT APPEAR TO BE DIRECTED TOWARD THE SUPERIOR
VENA CAVA. WOULD RECOMMEND CLINICAL CORRELATION AND REPOSITIONING
IF INDICATED.
2. LINES AND TUBES OTHERWISE UNCHANGED.
3. POST-SURGICAL CHANGES, BIBASILAR ATELECTASIS AND BILATERAL
PLEURAL EFFUSIONS ARE AGAIN NOTED.
4. MODERATE PULMONARY EDEMA, STABLE.
5. RESULTS COMMUNICATED TO herrera juliette, md OF THE CARDIOTHORACIC
SURGERY TEAM AT 9:30 A.M. ON    10-3-1986 .
END OF IMPRESSION:
SUMMARY 4: Possible significant abnormality/change, may need
action.
I have personally reviewed the images for this examination and agree
with the report transcribed above.
By: ximena fry, crnp  on: 10/3/86
ACCESSION NUMBER:
68144636131
This report has been anonymized. All dates are offset from the actual dates by a fixed interval associated with the patient.</x:v>
      </x:c>
      <x:c r="F40" s="27" t="str">
        <x:v>NARRATIVE:
SINGLE AP PORTABLE VIEW CHEST 7/5/2016:
COMPARISON: Made to previous date 10/23/2013.
IMPRESSION:
1. STABLE EXAMINATION OF THE CHEST.
2. INTERVAL REMOVAL OF THE NASOGASTRIC TUBE.
3. PERSISTENT LEFT LOWER LOBE ATELECTASIS AND/OR CONSOLIDATION
STABLE.
4. POST SURGICAL CHANGES AND MILD PULMONARY EDEMA STABLE.
END OF IMPRESSION:
SUMMARY 2: ABNORMAL, PREVIOUSLY REPORTED
I have personally reviewed the images for this examination and agree
with the report transcribed above.
By: Malone Aisha, Dr.  on: 10-23-13
ACCESSION NUMBER:
2392285
This report has been anonymized. All dates are offset from the actual dates by a fixed interval associated with the patient.</x:v>
      </x:c>
      <x:c r="G40" s="28" t="str">
        <x:v>Improved</x:v>
      </x:c>
      <x:c r="H40" s="29" t="str"/>
      <x:c r="I40" s="29" t="str"/>
      <x:c r="J40" s="29" t="str"/>
      <x:c r="K40" s="30"/>
      <x:c r="L40" s="29" t="str"/>
      <x:c r="M40" s="31" t="str">
        <x:f>IF(H40="","待填写标签",IF(AND(H40="Unusable",I40=""),"需填写不可用原因",IF(J40="","需填写审核人",IF(K40="","需填写日期","完成"))))</x:f>
        <x:v>待填写标签</x:v>
      </x:c>
    </x:row>
    <x:row r="41" ht="72" customHeight="1">
      <x:c r="A41" s="25" t="n">
        <x:v>40</x:v>
      </x:c>
      <x:c r="B41" s="26" t="str">
        <x:v>review_0011</x:v>
      </x:c>
      <x:c r="C41" s="26" t="str">
        <x:v>chexpert_plus</x:v>
      </x:c>
      <x:c r="D41" s="27" t="str">
        <x:v>Lung Opacity</x:v>
      </x:c>
      <x:c r="E41" s="27" t="str">
        <x:v>NARRATIVE:
CHEST: 07/5/9
COMPARISON: 5/9/07 at 0419 hours
CLINICAL HISTORY: A 63-year-old man with hepatocellular carcinoma,
line placement.
FINDINGS:
AP portable view of the chest taken on 5-9-2007 at 0415 hours
demonstrates interval removal of the feeding tube. There is also
interval pull back of the Swan-Ganz catheter with its tip now in
the right ventricle. Endotracheal tube remains in place. There is
a right subclavian venous catheter with its tip in the right
subclavian vein. A pigtail right subclavian vein. A pigtail right
pleural catheter remains unchanged in position. Within the lungs,
there is again bilateral diffuse air space opacities compatible
with pulmonary edema, ARDS or diffuse infection. No significant
change from the prior study.
AP portable view of the chest taken on 5-9-2007 at 0554 hours
demonstrates a further pull back of the Swan-Ganz catheter within
the sheath which rests at the right internal jugular vein. Other
tubes and lines are stable. No pneumothorax is seen. There is a
slight increase in aeration of both lungs with the reappearance of
the left hemidiaphragm. Bilateral pleural effusions are present.
Old rib fracture along the right side is noted.
IMPRESSION:
1. CHANGE IN TUBES AND LINES AS STATED ABOVE.
2. NO PNEUMOTHORAX.
3. DIFFUSE AIR SPACE OPACITIES SLIGHTLY IMPROVED IN THE LATEST
STUDY.
END OF IMPRESSION:
SUMMARY: 2 ABNORMAL, PREVIOUSLY REPORTED
ACCESSION NUMBER:
#652201163
This report has been anonymized. All dates are offset from the actual dates by a fixed interval associated with the patient.</x:v>
      </x:c>
      <x:c r="F41" s="27" t="str">
        <x:v>NARRATIVE:
CHEST: 9/26/2007
COMPARISON: 07, september 26 at 0419 hours
CLINICAL HISTORY: A 63-year-old man with hepatocellular carcinoma,
line placement.
FINDINGS:
AP portable view of the chest taken on September 26th 2007 at 0415 hours
demonstrates interval removal of the feeding tube. There is also
interval pull back of the Swan-Ganz catheter with its tip now in
the right ventricle. Endotracheal tube remains in place. There is
a right subclavian venous catheter with its tip in the right
subclavian vein. A pigtail right subclavian vein. A pigtail right
pleural catheter remains unchanged in position. Within the lungs,
there is again bilateral diffuse air space opacities compatible
with pulmonary edema, ARDS or diffuse infection. No significant
change from the prior study.
AP portable view of the chest taken on 9/26/2007 at 0554 hours
demonstrates a further pull back of the Swan-Ganz catheter within
the sheath which rests at the right internal jugular vein. Other
tubes and lines are stable. No pneumothorax is seen. There is a
slight increase in aeration of both lungs with the reappearance of
the left hemidiaphragm. Bilateral pleural effusions are present.
Old rib fracture along the right side is noted.
IMPRESSION:
1. CHANGE IN TUBES AND LINES AS STATED ABOVE.
2. NO PNEUMOTHORAX.
3. DIFFUSE AIR SPACE OPACITIES SLIGHTLY IMPROVED IN THE LATEST
STUDY.
END OF IMPRESSION:
SUMMARY: 2 ABNORMAL, PREVIOUSLY REPORTED
ACCESSION NUMBER:
#6777791771
This report has been anonymized. All dates are offset from the actual dates by a fixed interval associated with the patient.</x:v>
      </x:c>
      <x:c r="G41" s="28" t="str">
        <x:v>Stable</x:v>
      </x:c>
      <x:c r="H41" s="29" t="str"/>
      <x:c r="I41" s="29" t="str"/>
      <x:c r="J41" s="29" t="str"/>
      <x:c r="K41" s="30"/>
      <x:c r="L41" s="29" t="str"/>
      <x:c r="M41" s="31" t="str">
        <x:f>IF(H41="","待填写标签",IF(AND(H41="Unusable",I41=""),"需填写不可用原因",IF(J41="","需填写审核人",IF(K41="","需填写日期","完成"))))</x:f>
        <x:v>待填写标签</x:v>
      </x:c>
    </x:row>
    <x:row r="42" ht="72" customHeight="1">
      <x:c r="A42" s="25" t="n">
        <x:v>41</x:v>
      </x:c>
      <x:c r="B42" s="26" t="str">
        <x:v>review_0202</x:v>
      </x:c>
      <x:c r="C42" s="26" t="str">
        <x:v>chexpert_plus</x:v>
      </x:c>
      <x:c r="D42" s="27" t="str">
        <x:v>Pneumothorax</x:v>
      </x:c>
      <x:c r="E42" s="27" t="str">
        <x:v>NARRATIVE:
Exam: Chest 1 View, 5/4/2001
Clinical History: 72 years old Female with Chest tube pigtail 
placement
Comparison: 01 4 MAY
Impression:
1. INTERVAL PLACEMENT OF A RIGHT SIDED PIGTAIL CHEST TUBE.
2.SUBSEQUENT REEXPANSION OF THE RIGHT LUNG WITH SMALL RIGHT APICAL 
PNEUMOTHORAX REMAINING.
3.BILATERAL PLEURAL EFFUSIONS AND BIBASILAR CONSOLIDATION, UNCHANGED.
4.ET TUBE, MEDIASTINAL DRAINS, AND CENTRAL LINES ARE GROSSLY 
UNCHANGED.  STERNOTOMY WIRES AND SPINAL HARDWARE ARE AGAIN NOTED.
SUMMARY:2-ABNORMAL, PREVIOUSLY REPORTED
ACCESSION NUMBER:
#93613042878
This report has been anonymized. All dates are offset from the actual dates by a fixed interval associated with the patient.</x:v>
      </x:c>
      <x:c r="F42" s="27" t="str">
        <x:v>NARRATIVE:
EXAM: Chest 1 View, DECEMBER 31, 2007
CLINICAL HISTORY:  72 years old  Female with history of Every morning 
while intubated.
COMPARISON: 12/31/2007. 
IMPRESSION:
LINES AND TUBES ARE UNCHANGED.  SURGICAL HARDWARE IS UNCHANGED.
LUNG VOLUMES REMAIN LOW.  THE RIGHT-SIDED PNEUMOTHORAX IS NO LONGER 
SEEN.  THERE IS STABLE BIBASILAR OPACITIES AND BILATERAL PLEURAL 
EFFUSIONS.
SUMMARY:2-ABNORMAL, PREVIOUSLY REPORTED
ACCESSION NUMBER:
7750OO
This report has been anonymized. All dates are offset from the actual dates by a fixed interval associated with the patient.</x:v>
      </x:c>
      <x:c r="G42" s="28" t="str">
        <x:v>Resolved</x:v>
      </x:c>
      <x:c r="H42" s="29" t="str"/>
      <x:c r="I42" s="29" t="str"/>
      <x:c r="J42" s="29" t="str"/>
      <x:c r="K42" s="30"/>
      <x:c r="L42" s="29" t="str"/>
      <x:c r="M42" s="31" t="str">
        <x:f>IF(H42="","待填写标签",IF(AND(H42="Unusable",I42=""),"需填写不可用原因",IF(J42="","需填写审核人",IF(K42="","需填写日期","完成"))))</x:f>
        <x:v>待填写标签</x:v>
      </x:c>
    </x:row>
    <x:row r="43" ht="72" customHeight="1">
      <x:c r="A43" s="25" t="n">
        <x:v>42</x:v>
      </x:c>
      <x:c r="B43" s="26" t="str">
        <x:v>review_0241</x:v>
      </x:c>
      <x:c r="C43" s="26" t="str">
        <x:v>chexpert_plus</x:v>
      </x:c>
      <x:c r="D43" s="27" t="str">
        <x:v>Edema</x:v>
      </x:c>
      <x:c r="E43" s="27" t="str">
        <x:v>NARRATIVE:
Exam: Chest 1 View, 12/1/2022 
Clinical History: 62 years Female with Postop
Comparison: November 23 2011
IMPRESSION:
1.A SINGLE AP SEMIERECT VIEW OF THE DEMONSTRATE STATUS POST PLACEMENT 
OF AN ENDOTRACHEAL TUBE WITH THE TIP PROJECTING APPROXIMATELY 3.3 CM 
ABOVE THE CARINA.  STATUS POST PLACEMENT OF A RIGHT IJ CENTRAL VENOUS 
CATHETER WITH THE TIP PROJECTING OVER THE SUPERIOR VENA CAVA.
2.GROSSLY STABLE CARDIOMEDIASTINAL SILHOUETTE, NO EVIDENCE OF 
PULMONARY EDEMA.  DEVELOPMENT OF INTERVAL MILD LEFT BASILAR OPACITY, 
LIKELY REPRESENTING MILD ATELECTASIS.
SUMMARY:2-ABNORMAL, PREVIOUSLY REPORTED
ACCESSION NUMBER:
2971727
This report has been anonymized. All dates are offset from the actual dates by a fixed interval associated with the patient.</x:v>
      </x:c>
      <x:c r="F43" s="27" t="str">
        <x:v>NARRATIVE:
Chest 1 View 4-30-02
CLINICAL IDENTITY:  Female, 62 years-old
REASON FOR STUDY:  Every morning while intubated.
COMPARISON:  4/30/02
IMPRESSION:
1.FRONTAL RADIOGRAPH OF THE CHEST DEMONSTRATES INTERVAL REMOVAL OF 
THE ENDOTRACHEAL TUBE.  THE REMAINING RIGHT IJ LINE AS WELL AS 
SURGICAL MATERIALS ARE STABLE.
2.THERE HAS BEEN INTERVAL RESOLUTION OF THE PULMONARY EDEMA.  THE 
HEART SIZE IS STABLE.  THE LUNGS ARE CLEAR.  
SUMMARY:1-NO SIGNIFICANT ABNORMALITY
I have personally reviewed the images for this examination and agreed
with the report transcribed above.
ACCESSION NUMBER:
IVAMSERFUR
This report has been anonymized. All dates are offset from the actual dates by a fixed interval associated with the patient.</x:v>
      </x:c>
      <x:c r="G43" s="28" t="str">
        <x:v>Resolved</x:v>
      </x:c>
      <x:c r="H43" s="29" t="str"/>
      <x:c r="I43" s="29" t="str"/>
      <x:c r="J43" s="29" t="str"/>
      <x:c r="K43" s="30"/>
      <x:c r="L43" s="29" t="str"/>
      <x:c r="M43" s="31" t="str">
        <x:f>IF(H43="","待填写标签",IF(AND(H43="Unusable",I43=""),"需填写不可用原因",IF(J43="","需填写审核人",IF(K43="","需填写日期","完成"))))</x:f>
        <x:v>待填写标签</x:v>
      </x:c>
    </x:row>
    <x:row r="44" ht="72" customHeight="1">
      <x:c r="A44" s="25" t="n">
        <x:v>43</x:v>
      </x:c>
      <x:c r="B44" s="26" t="str">
        <x:v>review_0029</x:v>
      </x:c>
      <x:c r="C44" s="26" t="str">
        <x:v>mimic_cxr_jpg</x:v>
      </x:c>
      <x:c r="D44" s="27" t="str">
        <x:v>Cardiomegaly</x:v>
      </x:c>
      <x:c r="E44" s="27" t="str">
        <x:v>FINAL REPORT
 INDICATION:  Dyspnea.
 COMPARISON:  Radiograph available from ___.
 FRONTAL AND LATERAL CHEST RADIOGRAPHS:  The heart is moderately enlarged,
 unchanged in size since the ___ radiograph.  Again seen is central
 pulmonary vascular congestion with mild interstitial edema.  There is no focal
 consolidation, pneumothorax, or pleural effusion.
 IMPRESSION:  Moderate cardiomegaly, central vascular congestion, and mild
 interstitial edema, compatible with CHF.</x:v>
      </x:c>
      <x:c r="F44" s="27" t="str">
        <x:v>FINAL REPORT
 INDICATION:  Patient with cough and green sputum.  Assess for pneumonia.
 COMPARISONS:  ___.
 FINDINGS: PA and lateral views of the chest demonstrate normal lung volumes. 
 There is no pleural effusion, focal consolidation, or pneumothorax.  Moderate
 cardiomegaly is unchanged.  Hilar and mediastinal silhouettes are stable. 
 Aortic arch calcifications are noted.  Descending aorta appears tortuous. 
 There is perihilar vascular congestion.  Interstitial pulmonary edema seen on
 prior exam has improved.  Partially imaged upper abdomen is unremarkable.
 IMPRESSION: Moderate cardiomegaly and perihilar vascular congestion.  Mild
 interstitial edema seen on prior exam has improved.  No focal consolidation.</x:v>
      </x:c>
      <x:c r="G44" s="28" t="str">
        <x:v>Stable</x:v>
      </x:c>
      <x:c r="H44" s="29" t="str"/>
      <x:c r="I44" s="29" t="str"/>
      <x:c r="J44" s="29" t="str"/>
      <x:c r="K44" s="30"/>
      <x:c r="L44" s="29" t="str"/>
      <x:c r="M44" s="31" t="str">
        <x:f>IF(H44="","待填写标签",IF(AND(H44="Unusable",I44=""),"需填写不可用原因",IF(J44="","需填写审核人",IF(K44="","需填写日期","完成"))))</x:f>
        <x:v>待填写标签</x:v>
      </x:c>
    </x:row>
    <x:row r="45" ht="72" customHeight="1">
      <x:c r="A45" s="25" t="n">
        <x:v>44</x:v>
      </x:c>
      <x:c r="B45" s="26" t="str">
        <x:v>review_0195</x:v>
      </x:c>
      <x:c r="C45" s="26" t="str">
        <x:v>chexpert_plus</x:v>
      </x:c>
      <x:c r="D45" s="27" t="str">
        <x:v>Pleural Effusion</x:v>
      </x:c>
      <x:c r="E45" s="27" t="str">
        <x:v>NARRATIVE:
Exam: Chest 2 Views, 7-21-2019
INDICATION: S/p lung transplant
HISTORY: Male,68 years.      
Comparison: 7/21/2019
IMPRESSION:
1.UPRIGHT PA AND LATERAL CHEST RADIOGRAPHS DEMONSTRATE INTERVAL 
REMOVAL OF THE LEFT UPPER EXTREMITY PICC LINE.
2.REDEMONSTRATION OF SUBCUTANEOUS EMPHYSEMA THAT APPEARS DECREASED 
FROM THE PRIOR EXAM.
3.IMPROVED LUNG VOLUME IN TRANSPLANTED RIGHT LUNG.  SMALL RIGHT 
PLEURAL EFFUSION REMAINS.  PATCHY OPACITIES NOTED AT THE RIGHT BASE 
MAY BE RELATED TO ATELECTASIS, HOWEVER RECOMMEND CORRELATION FOR AN 
EARLY OR DEVELOPING CONSOLIDATION.
4.NATIVE LEFT LUNG DEMONSTRATES NO CHANGE IN DIFFUSE COARSE RETICULAR 
OPACITIES COMPATIBLE WITH UNDERLYING FIBROSIS.
SUMMARY:4-POSSIBLY SIGNIFICANT FINDING, MAY NEED ACTION
ACCESSION NUMBER:
28402809235
This report has been anonymized. All dates are offset from the actual dates by a fixed interval associated with the patient.</x:v>
      </x:c>
      <x:c r="F45" s="27" t="str">
        <x:v>NARRATIVE:
Exam: Chest 1 View 9-16-2015
Clinical History: 68 years Male with Dyspnea, s/p lung transplant
Comparison: Chest x-ray from 9-16-2015.m.
Findings:
Single frontal view of the chest from 9-16-2015 at 6:36 p.m. 
demonstrates lower lung volumes bilaterally with increased opacity in 
the fibrotic native left lung.  There is also increased opacity in 
the transplanted right lung base.  There is an increasing small right 
pleural effusion.
A second frontal chest x-ray from september 2015 at 6:04 a.m. 
demonstrates slightly lower lung volumes but overall no significant 
change when compared to the film described above.
IMPRESSION:
1.INTERVAL DECREASE IN LUNG VOLUMES I LATERALLY.
2.INCREASED OPACITY IN THE BASE OF THE RIGHT TRANSPLANTED LUNG WITH 
AN INCREASING RIGHT PLEURAL EFFUSION.
3.INCREASED DIFFUSE OPACITY IN THE FIBROTIC LEFT NATIVE LUNG.
SUMMARY:4-POSSIBLY SIGNIFICANT FINDING, MAY NEED ACTION
I have personally reviewed the images for this examination and agreed
with the report transcribed above.
ACCESSION NUMBER:
K7OS-U1Ye
This report has been anonymized. All dates are offset from the actual dates by a fixed interval associated with the patient.</x:v>
      </x:c>
      <x:c r="G45" s="28" t="str">
        <x:v>Worse</x:v>
      </x:c>
      <x:c r="H45" s="29" t="str"/>
      <x:c r="I45" s="29" t="str"/>
      <x:c r="J45" s="29" t="str"/>
      <x:c r="K45" s="30"/>
      <x:c r="L45" s="29" t="str"/>
      <x:c r="M45" s="31" t="str">
        <x:f>IF(H45="","待填写标签",IF(AND(H45="Unusable",I45=""),"需填写不可用原因",IF(J45="","需填写审核人",IF(K45="","需填写日期","完成"))))</x:f>
        <x:v>待填写标签</x:v>
      </x:c>
    </x:row>
    <x:row r="46" ht="72" customHeight="1">
      <x:c r="A46" s="25" t="n">
        <x:v>45</x:v>
      </x:c>
      <x:c r="B46" s="26" t="str">
        <x:v>review_0166</x:v>
      </x:c>
      <x:c r="C46" s="26" t="str">
        <x:v>mimic_cxr_jpg</x:v>
      </x:c>
      <x:c r="D46" s="27" t="str">
        <x:v>Lung Lesion</x:v>
      </x:c>
      <x:c r="E46" s="27" t="str">
        <x:v>WET READ: ___ ___ ___ 7:50 PM
  Lung volumes mildly improved.  No pleural effusion, pneumothorax or airspace
  consolidation worrisome for pneumonia.  Innumerable pulmonary nodules are too
  small to be evaluated by this study.  
 ______________________________________________________________________________
                                 FINAL REPORT
 HISTORY:  Metastatic cancer with fever.
 COMPARISON:  CT from ___ and chest x-ray from ___
 FINDINGS: Lung volumes mildly improved. No pleural effusion, pneumothorax or
 airspace consolidation worrisome for pneumonia.  The known innumerable
 pulmonary nodules are too small to be evaluated by this study</x:v>
      </x:c>
      <x:c r="F46" s="27" t="str">
        <x:v>FINAL REPORT
 PORTABLE CHEST X-RAY ___
 COMPARISON:  Radiograph of two days earlier.
 FINDINGS:  Left PICC has changed in position, now terminating at the right
 tracheobronchial angle, with distal tip directed superiorly.  It is uncertain
 whether this is extending superiorly into the right brachiocephalic vein or
 coursing posteriorly into the azygous vein at this level.  In either case,
 repositioning is advised, as communicated by phone to Dr. ___ on ___ at 8:45 a.m. at the time of discovery.  Cardiomediastinal contours
 are stable.  Within the lungs, widespread pulmonary nodules have apparently
 progressed since ___.  Differential diagnosis includes a
 granulomatous infection from fungal or mycobacterial organisms versus
 widespread pulmonary metastases.  Focal opacity in left retrocardiac region
 may be due to focal atelectasis and less likely an area of localized
 pneumonia.</x:v>
      </x:c>
      <x:c r="G46" s="28" t="str">
        <x:v>Worse</x:v>
      </x:c>
      <x:c r="H46" s="29" t="str"/>
      <x:c r="I46" s="29" t="str"/>
      <x:c r="J46" s="29" t="str"/>
      <x:c r="K46" s="30"/>
      <x:c r="L46" s="29" t="str"/>
      <x:c r="M46" s="31" t="str">
        <x:f>IF(H46="","待填写标签",IF(AND(H46="Unusable",I46=""),"需填写不可用原因",IF(J46="","需填写审核人",IF(K46="","需填写日期","完成"))))</x:f>
        <x:v>待填写标签</x:v>
      </x:c>
    </x:row>
    <x:row r="47" ht="72" customHeight="1">
      <x:c r="A47" s="25" t="n">
        <x:v>46</x:v>
      </x:c>
      <x:c r="B47" s="26" t="str">
        <x:v>review_0219</x:v>
      </x:c>
      <x:c r="C47" s="26" t="str">
        <x:v>chexpert_plus</x:v>
      </x:c>
      <x:c r="D47" s="27" t="str">
        <x:v>Edema</x:v>
      </x:c>
      <x:c r="E47" s="27" t="str">
        <x:v>NARRATIVE:
CHEST RADIOGRAPHS: 12/19/2002
COMPARISON: 12-19-2002
HISTORY: Post-operative evaluation.
FINDINGS:
Portable view of the chest on 12/19/2002 at 00:00 demonstrates post-
operative changes with interval removal of pacemaker device and two
leads. Median sternotomy wires are in place. Endotracheal tube
terminates near the level of the clavicles. Right internal jugular
Swan-Ganz catheter terminates in the main pulmonary artery. One
mediastinal drain and an additional mediastinal or pericardial
drain are noted. Lung volumes are low, with interstitial
prominence suggesting component of interstitial pulmonary edema.
There are probable bilateral pleural effusions, left greater than
right. Dense retrocardiac opacity obscures the left hemidiaphragm.
Cardiac silhouette remains enlarged.
Follow-up on december 2002 at 04:39 demonstrates slight interval
improvement in lung volumes. However, there is still likely a
component of interstitial pulmonary edema with small bilateral
pleural effusions. Dense retrocardiac opacity persists.
Cardiomegaly is stable. One of the previously noted mediastinal or
pericardial drains is not readily visualized on the current study.
The right internal jugular Swan-Ganz catheter now extends into the
right main pulmonary artery. Otherwise, tubes and lines are
stable.
IMPRESSION:
1. POST-OPERATIVE CHANGES.
2. TUBES AND LINES AS DESCRIBED ABOVE.
3. PERSISTENT INTERSTITIAL EDEMA WITH SMALL BILATERAL PLEURAL
EFFUSIONS AND CARDIOMEGALY.
4. RETROCARDIAC OPACITY MAY REPRESENT ATELECTASIS OR
CONSOLIDATION.
END OF IMPRESSION:
SUMMARY 4: Possible significant abnormality/change, may need
action.
ACCESSION NUMBER:
#4426968651
This report has been anonymized. All dates are offset from the actual dates by a fixed interval associated with the patient.</x:v>
      </x:c>
      <x:c r="F47" s="27" t="str">
        <x:v>NARRATIVE:
SINGLE PORTABLE VIEW OF THE CHEST: 7/19/2012
COMPARISON: 7/19/2012
IMPRESSION:
1. STATUS POST CARDIAC TRANSPLANT WITH STERNAL WIRES IN PLACE.
RIGHT PICC LINE WITH TIP IN THE PROXIMAL SUPERIOR VENA CAVA, RIGHT
CENTRAL LINE IN PLACE, UNCHANGED. NO PNEUMOTHORAX.
2. INTERVAL RESOLUTION OF PULMONARY EDEMA.
3. PERSISTENTLY ENLARGED CARDIAC SILHOUETTE AND LEFT LOWER LOBE
ATELECTASIS VERSUS CONSOLIDATION. SMALL LEFT PLEURAL EFFUSION.
END OF IMPRESSION:
SUMMARY 2: Abnormal, previously reported.
 __________________________________
ACCESSION NUMBER:
HSMZON
This report has been anonymized. All dates are offset from the actual dates by a fixed interval associated with the patient.</x:v>
      </x:c>
      <x:c r="G47" s="28" t="str">
        <x:v>Resolved</x:v>
      </x:c>
      <x:c r="H47" s="29" t="str"/>
      <x:c r="I47" s="29" t="str"/>
      <x:c r="J47" s="29" t="str"/>
      <x:c r="K47" s="30"/>
      <x:c r="L47" s="29" t="str"/>
      <x:c r="M47" s="31" t="str">
        <x:f>IF(H47="","待填写标签",IF(AND(H47="Unusable",I47=""),"需填写不可用原因",IF(J47="","需填写审核人",IF(K47="","需填写日期","完成"))))</x:f>
        <x:v>待填写标签</x:v>
      </x:c>
    </x:row>
    <x:row r="48" ht="72" customHeight="1">
      <x:c r="A48" s="25" t="n">
        <x:v>47</x:v>
      </x:c>
      <x:c r="B48" s="26" t="str">
        <x:v>review_0008</x:v>
      </x:c>
      <x:c r="C48" s="26" t="str">
        <x:v>mimic_cxr_jpg</x:v>
      </x:c>
      <x:c r="D48" s="27" t="str">
        <x:v>Edema</x:v>
      </x:c>
      <x:c r="E48" s="27" t="str">
        <x:v>FINAL REPORT
 EXAMINATION:  CHEST (PORTABLE AP)
 INDICATION:  ___ year old woman s/p AVR  // eval for line position s/p
 placement of R IJ      eval for line position s/p placement of R IJ
 IMPRESSION: 
 In comparison with the earlier study of this date, there is an placement of a
 right IJ catheter that extends to the mid to lower portion of the SVC.  No
 evidence of post procedure complication.  Little change in the appearance of
 the heart and lungs.</x:v>
      </x:c>
      <x:c r="F48" s="27" t="str">
        <x:v>FINAL REPORT
 EXAMINATION:  CHEST (PORTABLE AP)
 INDICATION:  ___ year old woman with s/p CABG/AVR requiring pressors/acidotic 
 // widened mediastinum      widened mediastinum
 IMPRESSION: 
 Comparison to ___.  Minimally increase of the right pleural effusion. 
 The left pleural effusion and subsequent atelectasis is stable.  Moderate
 cardiomegaly persists.  Mild pulmonary edema is unchanged.</x:v>
      </x:c>
      <x:c r="G48" s="28" t="str">
        <x:v>New</x:v>
      </x:c>
      <x:c r="H48" s="29" t="str"/>
      <x:c r="I48" s="29" t="str"/>
      <x:c r="J48" s="29" t="str"/>
      <x:c r="K48" s="30"/>
      <x:c r="L48" s="29" t="str"/>
      <x:c r="M48" s="31" t="str">
        <x:f>IF(H48="","待填写标签",IF(AND(H48="Unusable",I48=""),"需填写不可用原因",IF(J48="","需填写审核人",IF(K48="","需填写日期","完成"))))</x:f>
        <x:v>待填写标签</x:v>
      </x:c>
    </x:row>
    <x:row r="49" ht="72" customHeight="1">
      <x:c r="A49" s="25" t="n">
        <x:v>48</x:v>
      </x:c>
      <x:c r="B49" s="26" t="str">
        <x:v>review_0068</x:v>
      </x:c>
      <x:c r="C49" s="26" t="str">
        <x:v>mimic_cxr_jpg</x:v>
      </x:c>
      <x:c r="D49" s="27" t="str">
        <x:v>Atelectasis</x:v>
      </x:c>
      <x:c r="E49" s="27" t="str">
        <x:v>FINAL REPORT
 INDICATION:  ___ year old woman with hx CHF, p/w stroke.  // Obtain baseline
 TECHNIQUE:  AP portable chest radiograph
 COMPARISON:  ___
 FINDINGS: 
 The lungs appear hyperexpanded.  Unchanged left basilar opacities may reflect
 atelectasis/scarring.  No pleural effusion or pneumothorax identified.  The
 size the cardiac silhouette is enlarged but unchanged.  Calcification of the
 aortic arch is again present.
 Tubing material extends over the left neck, left hemithorax and loops in the
 right upper quadrant.
 IMPRESSION: 
 No radiographic evidence of acute cardiopulmonary disease.</x:v>
      </x:c>
      <x:c r="F49" s="27" t="str">
        <x:v>FINAL REPORT
 EXAMINATION:  CHEST (PORTABLE AP)
 INDICATION:  ___ year old woman with IPH. Now with increasing rhonchi.  // ?PNA
 ?PNA
 IMPRESSION: 
 Comparison to ___.  Stable left lower lobe atelectasis.  Stable
 large lung volumes without obvious overinflation.  Borderline size of the
 cardiac silhouette without pulmonary edema.  No evidence of pneumonia.  The
 monitoring and support devices are in stable position.</x:v>
      </x:c>
      <x:c r="G49" s="28" t="str">
        <x:v>Stable</x:v>
      </x:c>
      <x:c r="H49" s="29" t="str"/>
      <x:c r="I49" s="29" t="str"/>
      <x:c r="J49" s="29" t="str"/>
      <x:c r="K49" s="30"/>
      <x:c r="L49" s="29" t="str"/>
      <x:c r="M49" s="31" t="str">
        <x:f>IF(H49="","待填写标签",IF(AND(H49="Unusable",I49=""),"需填写不可用原因",IF(J49="","需填写审核人",IF(K49="","需填写日期","完成"))))</x:f>
        <x:v>待填写标签</x:v>
      </x:c>
    </x:row>
    <x:row r="50" ht="72" customHeight="1">
      <x:c r="A50" s="25" t="n">
        <x:v>49</x:v>
      </x:c>
      <x:c r="B50" s="26" t="str">
        <x:v>review_0072</x:v>
      </x:c>
      <x:c r="C50" s="26" t="str">
        <x:v>chexpert_plus</x:v>
      </x:c>
      <x:c r="D50" s="27" t="str">
        <x:v>Edema</x:v>
      </x:c>
      <x:c r="E50" s="27" t="str">
        <x:v>NARRATIVE:
 CHEST:  29 March
 COMPARISON:  3/29/2016
 CLINICAL HISTORY:  Evaluate for line placement.
 IMPRESSION:
 1.         AN AP SEMI-ERECT CHEST RADIOGRAPH DEMONSTRATES LINES AND
TUBES IN STABLE POSITION.
 2.         PERSISTENT MODERATE PULMONARY EDEMA, WITH INCREASED
OPACIFICATION AT THE LUNG BASES, AND LIKELY LAYERING EFFUSIONS.
PLEURAL FLUID IS SEEN TRACKING AROUND TO THE LUNG APICES BILATERALLY.
NO SIGNIFICANT INTERVAL CHANGE.
 SUMMARY:2-ABNORMAL, PREVIOUSLY REPORTED.
ACCESSION NUMBER:
#683266405
This report has been anonymized. All dates are offset from the actual dates by a fixed interval associated with the patient.</x:v>
      </x:c>
      <x:c r="F50" s="27" t="str">
        <x:v>NARRATIVE:
AP VIEW OF THE CHEST, 08 DECEMBER Loyalhanna Therapeutics 1042 HOURS:
 COMPARISON:  12/27/08 loyalhanna therapeutics 0351 hours.
 CLINICAL HISTORY:  47-year-old male after endotracheal tube
placement.
 IMPRESSION:
 1.  RE-DEMONSTRATION OF STERNOTOMY WIRES AND MEDIASTINAL VASCULAR
CLIPS.  AP VIEW OF THE UPRIGHT CHEST ON 12-27-08 Loyalhanna Therapeutics 1042 HOURS SHOWS
AN ENDOTRACHEAL TUBE, NASOGASTRIC TUBE, FEEDING TUBE NOT CHANGED IN
POSITION.  THERE IS A RIGHT-SIDED INTERNAL JUGULAR VENOUS CATHETER,
THE CATHETER TIP HAS BEEN ADVANCED SUCH THAT IT PROJECTS OVER THE
DISTAL SUPERIOR VENA CAVA.
 2.  BIBASILAR OPACITIES PERSIST ALONG WITH AIR BRONCHOGRAMS
CONSISTENT WITH CONSOLIDATION VERSUS ATELECTASIS, VERSUS ASPIRATION.
A LEFT-SIDED EFFUSION IS PRESENT.
 3.  PULMONARY EDEMA, MODERATE, IS UNCHANGED.
 SUMMARY:4-POSSIBLE SIGNIFICANT FINDINGS, MAY NEED ACTION
I have personally reviewed the images for this examination and agreed
with the report transcribed above.
ACCESSION NUMBER:
#WU-JW-G
This report has been anonymized. All dates are offset from the actual dates by a fixed interval associated with the patient.</x:v>
      </x:c>
      <x:c r="G50" s="28" t="str">
        <x:v>Stable</x:v>
      </x:c>
      <x:c r="H50" s="29" t="str"/>
      <x:c r="I50" s="29" t="str"/>
      <x:c r="J50" s="29" t="str"/>
      <x:c r="K50" s="30"/>
      <x:c r="L50" s="29" t="str"/>
      <x:c r="M50" s="31" t="str">
        <x:f>IF(H50="","待填写标签",IF(AND(H50="Unusable",I50=""),"需填写不可用原因",IF(J50="","需填写审核人",IF(K50="","需填写日期","完成"))))</x:f>
        <x:v>待填写标签</x:v>
      </x:c>
    </x:row>
    <x:row r="51" ht="72" customHeight="1">
      <x:c r="A51" s="25" t="n">
        <x:v>50</x:v>
      </x:c>
      <x:c r="B51" s="26" t="str">
        <x:v>review_0205</x:v>
      </x:c>
      <x:c r="C51" s="26" t="str">
        <x:v>mimic_cxr_jpg</x:v>
      </x:c>
      <x:c r="D51" s="27" t="str">
        <x:v>Edema</x:v>
      </x:c>
      <x:c r="E51" s="27" t="str">
        <x:v>FINAL REPORT
 INDICATION:  Shortness of breath.  Evaluate for congestive heart failure.
 COMPARISON:  None.
 TECHNIQUE:  Semi-upright portable AP radiograph of the chest.
 FINDINGS:  The right costophrenic sulcus is omitted from view.  There are
 bilateral opacities with a predominance at the bases.  The heart is not
 enlarged.  There is central pulmonary vascular congestion.  There is no large
 pleural effusion or pneumothorax.  Surgical clips project over the right
 axilla and slightly more inferiorly and irregular opacity is likely outside of
 the thoracic cavity, however, confirmation with lateral radiograph would be
 necessary.  Curvilinear lucency projecting to the right of the trachea is
 likely a deviated esophagus. 
 IMPRESSION: Moderate pulmonary edema with normal cardiac size.  Noncardiogenic
 pulmonary edema should be considered and followup radiographs are recommended.</x:v>
      </x:c>
      <x:c r="F51" s="27" t="str">
        <x:v>FINAL REPORT
 CHEST, TWO VIEWS:  ___ 
 HISTORY:  ___-year-old female with shortness of breath.
 COMPARISON:  ___ chest x-ray and chest CT from ___.
 FINDINGS:  Frontal and lateral views of the chest.  There has been interval
 resolution of previously seen pulmonary edema.  Calcific densities projecting
 over the right mid lung are compatible with calcifications in the region of
 the overlying soft tissues.  Right apical scarring is again noted.  There is
 no new focal consolidation.  The cardiomediastinal silhouette is within normal
 limits.  Right axillary surgical clips again seen.
 IMPRESSION:  No acute cardiopulmonary process.</x:v>
      </x:c>
      <x:c r="G51" s="28" t="str">
        <x:v>Resolved</x:v>
      </x:c>
      <x:c r="H51" s="29" t="str"/>
      <x:c r="I51" s="29" t="str"/>
      <x:c r="J51" s="29" t="str"/>
      <x:c r="K51" s="30"/>
      <x:c r="L51" s="29" t="str"/>
      <x:c r="M51" s="31" t="str">
        <x:f>IF(H51="","待填写标签",IF(AND(H51="Unusable",I51=""),"需填写不可用原因",IF(J51="","需填写审核人",IF(K51="","需填写日期","完成"))))</x:f>
        <x:v>待填写标签</x:v>
      </x:c>
    </x:row>
    <x:row r="52" ht="72" customHeight="1">
      <x:c r="A52" s="25" t="n">
        <x:v>51</x:v>
      </x:c>
      <x:c r="B52" s="26" t="str">
        <x:v>review_0245</x:v>
      </x:c>
      <x:c r="C52" s="26" t="str">
        <x:v>chexpert_plus</x:v>
      </x:c>
      <x:c r="D52" s="27" t="str">
        <x:v>Pneumothorax</x:v>
      </x:c>
      <x:c r="E52" s="27" t="str">
        <x:v>NARRATIVE:
RADIOGRAPHIC EXAMINATION OF THE CHEST: November 22nd 2001
CLINICAL HISTORY: 27 years of age, Female, Postop, ICU.
COMPARISON: 11-22-2001
PROCEDURE COMMENTS: Single supine view of the chest. 
FINDINGS:
Interval removal of the TEE probe. Unchanged position of the 
endotracheal tube with tip 1.6 cm above the carina, the nasogastric 
tube with tip below the inferior margin of the image, the Swan-Ganz 
catheter with tip in the main pulmonary artery, and multiple thoracic 
drains and epicardial pacing wires projecting over the thorax.
The cardiomediastinal silhouette remains normal. Again seen are 
retrocardiac airspace opacifications. The small right apical 
pneumothorax is noted. Unchanged appearance of hyperdensities 
projecting over the epigastric area. Calcified structure projecting 
over the left axilla reflects changes from prior placement of a 
tunneled central venous catheter
IMPRESSION:
1.  Unchanged appearance of dense left basilar airspace 
opacifications, which could reflect a combination of aspiration and 
atelectasis.
2.  Unchanged appearance of ill-defined hyperdensities projecting 
over the epigastric area.
3.  Interval appearance of a small right pneumothorax.
I have personally reviewed the images for this examination and agreed
with the report transcribed above.
ACCESSION NUMBER:
6-0-5-6-8-6-5-9-5-5-9-0
This report has been anonymized. All dates are offset from the actual dates by a fixed interval associated with the patient.</x:v>
      </x:c>
      <x:c r="F52" s="27" t="str">
        <x:v>NARRATIVE:
RADIOGRAPHIC EXAMINATION OF THE CHEST: 11-14-2014
CLINICAL HISTORY: 27 years of age, Female, Post Op Heart Transplant.
COMPARISON: Chest x-ray 11/14/14 at 0333 hours
PROCEDURE COMMENTS: Single view of the chest. 
FINDINGS:
Single frontal view the chest dated 11/14/2014 at 0341 hours 
demonstrates interval removal of endotracheal tube and nasogastric 
tube. Otherwise stable appearance of lines, tubes and medical support 
devices. The cardio missile silhouette is within normal limits. 
Previously demonstrated right apical pneumothorax is no longer 
visualized there is some right apical pleural thickening.
IMPRESSION:
1.  Interval removal of endotracheal tube and nasogastric tube, 
otherwise stable appearance of lines, tubes and medical support 
devices.
2.  Previously demonstrated right apical pneumothorax is no longer 
well-visualized.
I have personally reviewed the images for this examination and agreed
with the report transcribed above.
ACCESSION NUMBER:
49_83_74_15_6
This report has been anonymized. All dates are offset from the actual dates by a fixed interval associated with the patient.</x:v>
      </x:c>
      <x:c r="G52" s="28" t="str">
        <x:v>Resolved</x:v>
      </x:c>
      <x:c r="H52" s="29" t="str"/>
      <x:c r="I52" s="29" t="str"/>
      <x:c r="J52" s="29" t="str"/>
      <x:c r="K52" s="30"/>
      <x:c r="L52" s="29" t="str"/>
      <x:c r="M52" s="31" t="str">
        <x:f>IF(H52="","待填写标签",IF(AND(H52="Unusable",I52=""),"需填写不可用原因",IF(J52="","需填写审核人",IF(K52="","需填写日期","完成"))))</x:f>
        <x:v>待填写标签</x:v>
      </x:c>
    </x:row>
    <x:row r="53" ht="72" customHeight="1">
      <x:c r="A53" s="25" t="n">
        <x:v>52</x:v>
      </x:c>
      <x:c r="B53" s="26" t="str">
        <x:v>review_0013</x:v>
      </x:c>
      <x:c r="C53" s="26" t="str">
        <x:v>chexpert_plus</x:v>
      </x:c>
      <x:c r="D53" s="27" t="str">
        <x:v>Edema</x:v>
      </x:c>
      <x:c r="E53" s="27" t="str">
        <x:v>NARRATIVE:
SINGLE VIEW OF THE CHEST: 8/17/2019.
 COMPARISON: 8-17-2019. 
 CLINICAL HISTORY: A 78-year-old man with congestive heart failure. 
 FINDINGS: AP portable view of the chest taken on 8/17/2019 LOYALHANNA THERAPEUTICS 1242 
hours is right-rotated. Sternal wires are in place. There is a 
pacemaker in the left shoulder with two leads terminating at the 
right atrium and the right ventricle. Cardiac silhouette appears 
enlarged. There is a retrocardiac opacity and a left pleural 
effusion, unchanged from the prior study. There may be mild 
interstitial pulmonary edema, although assessment is made difficult 
by the low lung volumes. Otherwise, the right lung is clear. The 
right costophrenic sulcus is sharp. No pneumothorax is seen. 
 IMPRESSION: 
 1. LOW LUNG VOLUME WITH POSSIBLE MILD INTERSTITIAL PULMONARY EDEMA. 
 2. A LEFT EFFUSION AND LEFT BASE OPACITY ARE UNCHANGED. 
 SUMMARY:4-POSSIBLE SIGNIFICANT FINDINGS, MAY NEED ACTION
ACCESSION NUMBER:
061491
This report has been anonymized. All dates are offset from the actual dates by a fixed interval associated with the patient.</x:v>
      </x:c>
      <x:c r="F53" s="27" t="str">
        <x:v>NARRATIVE:
AP VIEW OF THE CHEST:  2-24-2005 AT 0456
 COMPARISON:  02/24/2005. 
 CLINICAL HISTORY:  Seventy-eight-year-old man, in critical care. 
 IMPRESSION: 
 1.  NO SIGNIFICANT INTERVAL CHANGE.  PERSISTENTLY LOW LUNG VOLUMES 
WITH UNCHANGED DEGREE OF PULMONARY VASCULAR CONGESTION COMPATIBLE 
WITH MILD PULMONARY EDEMA.  
 2.  STABLE CARDIOMEGALY.  DUAL-LEAD CARDIAC PACEMAKER REMAINS IN 
PLACE.  
 3.  BIBASILAR AIR-SPACE OPACITIES, LEFT GREATER THAN RIGHT.  
PERSISTENT MODERATE LEFT EFFUSION AND SMALL EFFUSION ON RIGHT.  
 4.  POSTSURGICAL CHANGES RELATED TO PRIOR CABG. 
 SUMMARY:2-ABNORMAL, PREVIOUSLY REPORTED   
I have personally reviewed the images for this examination and agreed
with the report transcribed above.
ACCESSION NUMBER:
75799
This report has been anonymized. All dates are offset from the actual dates by a fixed interval associated with the patient.</x:v>
      </x:c>
      <x:c r="G53" s="28" t="str">
        <x:v>Stable</x:v>
      </x:c>
      <x:c r="H53" s="29" t="str"/>
      <x:c r="I53" s="29" t="str"/>
      <x:c r="J53" s="29" t="str"/>
      <x:c r="K53" s="30"/>
      <x:c r="L53" s="29" t="str"/>
      <x:c r="M53" s="31" t="str">
        <x:f>IF(H53="","待填写标签",IF(AND(H53="Unusable",I53=""),"需填写不可用原因",IF(J53="","需填写审核人",IF(K53="","需填写日期","完成"))))</x:f>
        <x:v>待填写标签</x:v>
      </x:c>
    </x:row>
    <x:row r="54" ht="72" customHeight="1">
      <x:c r="A54" s="25" t="n">
        <x:v>53</x:v>
      </x:c>
      <x:c r="B54" s="26" t="str">
        <x:v>review_0143</x:v>
      </x:c>
      <x:c r="C54" s="26" t="str">
        <x:v>chexpert_plus</x:v>
      </x:c>
      <x:c r="D54" s="27" t="str">
        <x:v>Lung Opacity</x:v>
      </x:c>
      <x:c r="E54" s="27" t="str">
        <x:v>NARRATIVE:
Chest 1 View 2/17/2013
CLINICAL HISTORY:  39 years-old Male. Cvc 
COMPARISON: 2/17/2013
IMPRESSION:
NEW RIGHT JUGULAR CENTRAL VENOUS CATHETER POSITIONED IN THE MID SVC.  
STERNOTOMY CHANGES.  MINIMAL RIGHT BASILAR LINEAR ATELECTASIS.  NO 
FOCAL CONSOLIDATION OR PNEUMOTHORAX.
SUMMARY:4-POSSIBLY SIGNIFICANT FINDING, MAY NEED ACTION
I have personally reviewed the images for this examination and agreed
with the report transcribed above.
ACCESSION NUMBER:
#HPMWZHVZ
This report has been anonymized. All dates are offset from the actual dates by a fixed interval associated with the patient.</x:v>
      </x:c>
      <x:c r="F54" s="27" t="str">
        <x:v>NARRATIVE:
Chest 1 View 2-27-2008
CLINICAL HISTORY:  39 years-old Male. S/p transbronchial biopsies. 
rule out PNTX 
COMPARISON: 2008 February 27th
IMPRESSION:
ASYMMETRIC COARSE BILATERAL RETICULOGRANULAR OPACITIES, MOST 
CONFLUENT WITHIN THE RIGHT INFRAHILAR LUNG, UNCHANGED FROM PRIOR 
STUDY.  BIAPICAL PLEUROPARENCHYMAL THICKENING.  
POSTSURGICAL CHANGES OF MEDIAN STERNOTOMY AND LUNG TRANSPLANTATION.  
NO PNEUMOTHORAX IDENTIFIED STATUS POST TRANSBRONCHIAL BIOPSY.
SUMMARY:4-POSSIBLY SIGNIFICANT FINDING, MAY NEED ACTION
I have personally reviewed the images for this examination and agreed
with the report transcribed above.
ACCESSION NUMBER:
#77-91-39
This report has been anonymized. All dates are offset from the actual dates by a fixed interval associated with the patient.</x:v>
      </x:c>
      <x:c r="G54" s="28" t="str">
        <x:v>New</x:v>
      </x:c>
      <x:c r="H54" s="29" t="str"/>
      <x:c r="I54" s="29" t="str"/>
      <x:c r="J54" s="29" t="str"/>
      <x:c r="K54" s="30"/>
      <x:c r="L54" s="29" t="str"/>
      <x:c r="M54" s="31" t="str">
        <x:f>IF(H54="","待填写标签",IF(AND(H54="Unusable",I54=""),"需填写不可用原因",IF(J54="","需填写审核人",IF(K54="","需填写日期","完成"))))</x:f>
        <x:v>待填写标签</x:v>
      </x:c>
    </x:row>
    <x:row r="55" ht="72" customHeight="1">
      <x:c r="A55" s="25" t="n">
        <x:v>54</x:v>
      </x:c>
      <x:c r="B55" s="26" t="str">
        <x:v>review_0067</x:v>
      </x:c>
      <x:c r="C55" s="26" t="str">
        <x:v>chexpert_plus</x:v>
      </x:c>
      <x:c r="D55" s="27" t="str">
        <x:v>Enlarged Cardiomediastinum</x:v>
      </x:c>
      <x:c r="E55" s="27" t="str">
        <x:v>NARRATIVE:
CHEST RADIOGRAPH, PORTABLE:  11/6/2013
COMPARISON:  11/6/2013 AT 1:23 A.M.
CLINICAL HISTORY:  An 81-year-old female, postop.  
FINDINGS:  A portable semiupright radiograph of the chest was 
obtained.  There is increasing left perihilar and left lower lobe 
opacity.  A moderate left pleural effusion has increased.  A small 
right pleural effusion is unchanged.  The cardiomediastinal 
silhouette is stable.  The pulmonary vasculature is within normal 
limits.  There has been interval removal of the endotracheal tube and 
NG tube.  The remaining tubes and lines are unchanged.  
IMPRESSION: 
1.  INTERVAL EXTUBATION WITH INCREASING LEFT PERIHILAR OPACITY. GIVEN 
RECENT SURGERY, THIS MAY REPRESENT MEDIASTINAL HEMATOMA. IF 
INDICATED, CT CAN BE USED FOR FURTHER EVALUATION. 
2.  EMERGING LEFT PLEURAL EFFUSION. 
SUMMARY: 4 POSSIBLE SIGNIFICANT FINDINGS, MAY NEED ACTION. 
I have personally reviewed the images for this examination and agreed
with the report transcribed above.
ACCESSION NUMBER:
#95 44 88 84 36
This report has been anonymized. All dates are offset from the actual dates by a fixed interval associated with the patient.</x:v>
      </x:c>
      <x:c r="F55" s="27" t="str">
        <x:v>NARRATIVE:
CHEST RADIOGRAPH, PORTABLE:  1-22-01 
COMPARISON:  01/22/01. 
CLINICAL HISTORY:  An 81-year-old female postop.  
FINDINGS:  A portable semiupright radiograph of the chest was 
obtained.  The previously described left perihilar opacity has 
decreased compared with the prior exam.  There is stable left lower 
lobe atelectasis.  Moderate left and small right pleural effusions 
are unchanged.  The cardiomediastinal silhouette is stable.  The 
pulmonary vasculature is within normal limits.  The tubes and lines 
are unchanged with the right-sided Swan-Ganz catheter tip in the 
right ventricular outflow tract. 
IMPRESSION: 
1.  DECREASING LEFT PERIHILAR OPACITY, WHICH MAY REPRESENT 
MEDIASTINAL HEMATOMA IN THIS PATIENT WITH RECENT SURGERY. IF 
INDICATED, CT CAN BE USED FOR FURTHER EVALUATION.  
2.  MODERATE LEFT PLEURAL EFFUSION. 
SUMMARY: 2 ABNORMAL, PREVIOUSLY REPORTED. 
I have personally reviewed the images for this examination and agreed
with the report transcribed above.
ACCESSION NUMBER:
#5851643010
This report has been anonymized. All dates are offset from the actual dates by a fixed interval associated with the patient.</x:v>
      </x:c>
      <x:c r="G55" s="28" t="str">
        <x:v>Stable</x:v>
      </x:c>
      <x:c r="H55" s="29" t="str"/>
      <x:c r="I55" s="29" t="str"/>
      <x:c r="J55" s="29" t="str"/>
      <x:c r="K55" s="30"/>
      <x:c r="L55" s="29" t="str"/>
      <x:c r="M55" s="31" t="str">
        <x:f>IF(H55="","待填写标签",IF(AND(H55="Unusable",I55=""),"需填写不可用原因",IF(J55="","需填写审核人",IF(K55="","需填写日期","完成"))))</x:f>
        <x:v>待填写标签</x:v>
      </x:c>
    </x:row>
    <x:row r="56" ht="72" customHeight="1">
      <x:c r="A56" s="25" t="n">
        <x:v>55</x:v>
      </x:c>
      <x:c r="B56" s="26" t="str">
        <x:v>review_0139</x:v>
      </x:c>
      <x:c r="C56" s="26" t="str">
        <x:v>mimic_cxr_jpg</x:v>
      </x:c>
      <x:c r="D56" s="27" t="str">
        <x:v>Atelectasis</x:v>
      </x:c>
      <x:c r="E56" s="27" t="str">
        <x:v>FINAL REPORT
 HISTORY:  Nausea, vomiting, leukocytosis and chills at home.
 COMPARISON:  ___, CT chest ___.
 TECHNIQUE:  PA and lateral chest radiograph, four views.
 FINDINGS:  Moderate cardiomegaly and widening of the thoracic aorta is
 unchanged compared to prior examination.  Correlation to prior CT chest shows
 normal-caliber thoracic aorta and this widened appearance is likely due to
 overlap of the ascending and descending portions.  Hilar contours are
 unremarkable.  There is plate-like atelectasis in the left lung base.  The
 lungs are otherwise clear.  There is no pleural effusion or pneumothorax.
 IMPRESSION:  No acute intrathoracic process.</x:v>
      </x:c>
      <x:c r="F56" s="27" t="str">
        <x:v>FINAL REPORT
 PA AND LATERAL CHEST X-RAY
 INDICATION:  Patient with hypoxia, wheeze, rule out pneumonia.
 COMPARISON:  ___.
 FINDINGS:
 Small left basal atelectatic bands have slightly increased in size.  The lungs
 are otherwise clear.  There is no pleural effusion or pneumothorax.
 CONCLUSION:
 There is no evidence of pneumonia.  Slight increase of the left basal
 atelectatic band.</x:v>
      </x:c>
      <x:c r="G56" s="28" t="str">
        <x:v>Worse</x:v>
      </x:c>
      <x:c r="H56" s="29" t="str"/>
      <x:c r="I56" s="29" t="str"/>
      <x:c r="J56" s="29" t="str"/>
      <x:c r="K56" s="30"/>
      <x:c r="L56" s="29" t="str"/>
      <x:c r="M56" s="31" t="str">
        <x:f>IF(H56="","待填写标签",IF(AND(H56="Unusable",I56=""),"需填写不可用原因",IF(J56="","需填写审核人",IF(K56="","需填写日期","完成"))))</x:f>
        <x:v>待填写标签</x:v>
      </x:c>
    </x:row>
    <x:row r="57" ht="72" customHeight="1">
      <x:c r="A57" s="25" t="n">
        <x:v>56</x:v>
      </x:c>
      <x:c r="B57" s="26" t="str">
        <x:v>review_0242</x:v>
      </x:c>
      <x:c r="C57" s="26" t="str">
        <x:v>chexpert_plus</x:v>
      </x:c>
      <x:c r="D57" s="27" t="str">
        <x:v>Lung Opacity</x:v>
      </x:c>
      <x:c r="E57" s="27" t="str">
        <x:v>NARRATIVE:
CHEST: 12/7/2020 AND 20-12-07.
COMPARISON:
None.
FINDINGS:
Serial AP radiographs of the chest demonstrates placement of a
right internal jugular line in satisfactory positioning on the
initial film of the series. Lung volumes are low with minimal
subsegmental atelectasis in the left mid lung zone. On the second
film of the series there is interval placement of an endotracheal
tube in satisfactory positioning. This endotracheal tube is
subsequently removed on the most recent film of the series. Lung
volumes are slightly increased on the second film of the series,
however, lung volumes appear lower on the most recent film of the
series. In addition on the most recent film of the series, there
is interval increase in indistinctness of the pulmonary
vascularity. Minimal retrocardiac opacity is also noted on the
most recent film of the series. No effusions. Cardiomediastinal
silhouette remains stable.
IMPRESSION:
1. RIGHT INTERNAL JUGULAR LINE HAS BEEN PLACED IN SATISFACTORY
POSITIONING. INTERVAL INTUBATION AND EXTUBATION.
2. LOW LUNG VOLUMES.
3. INTERVAL DEVELOPMENT OF MILD PULMONARY EDEMA.
END OF IMPRESSION:
SUMMARY 4: Possible Significant Abnormality/Change, may need
action.
 __________________________________
ACCESSION NUMBER:
#TRZEDR
This report has been anonymized. All dates are offset from the actual dates by a fixed interval associated with the patient.</x:v>
      </x:c>
      <x:c r="F57" s="27" t="str">
        <x:v>NARRATIVE:
Chest 1 View 6/16/2001
CLINICAL IDENTITY:  Male, 34 years-old
REASON FOR STUDY:  Post central line placement.
COMPARISON:  6/16/2001
IMPRESSION:
1.FRONTAL RADIOGRAPH OF THE CHEST DEMONSTRATES INTERVAL PLACEMENT OF 
A RIGHT IJ CATHETER, WHOSE TIP IS POORLY VISUALIZED DUE TO MOTION, 
BUT TERMINATES AT LEAST 3.8 CM BELOW THE CARINA.   
2.THE LUNGS ARE CLEAR.  THE LUNG VOLUMES ARE LOW.
3.A CURVILINEAR OPACITY AT THE RIGHT APEX IS STABLE AND LIKELY 
REPRESENTS A SKINFOLD.  NO PNEUMOTHORAX IS PRESENT.  
SUMMARY:4-POSSIBLY SIGNIFICANT FINDING, MAY NEED ACTION
I have personally reviewed the images for this examination and agreed
with the report transcribed above.
ACCESSION NUMBER:
69 95 53 12 27 32
This report has been anonymized. All dates are offset from the actual dates by a fixed interval associated with the patient.</x:v>
      </x:c>
      <x:c r="G57" s="28" t="str">
        <x:v>Resolved</x:v>
      </x:c>
      <x:c r="H57" s="29" t="str"/>
      <x:c r="I57" s="29" t="str"/>
      <x:c r="J57" s="29" t="str"/>
      <x:c r="K57" s="30"/>
      <x:c r="L57" s="29" t="str"/>
      <x:c r="M57" s="31" t="str">
        <x:f>IF(H57="","待填写标签",IF(AND(H57="Unusable",I57=""),"需填写不可用原因",IF(J57="","需填写审核人",IF(K57="","需填写日期","完成"))))</x:f>
        <x:v>待填写标签</x:v>
      </x:c>
    </x:row>
    <x:row r="58" ht="72" customHeight="1">
      <x:c r="A58" s="25" t="n">
        <x:v>57</x:v>
      </x:c>
      <x:c r="B58" s="26" t="str">
        <x:v>review_0244</x:v>
      </x:c>
      <x:c r="C58" s="26" t="str">
        <x:v>chexpert_plus</x:v>
      </x:c>
      <x:c r="D58" s="27" t="str">
        <x:v>Pleural Effusion</x:v>
      </x:c>
      <x:c r="E58" s="27" t="str">
        <x:v>NARRATIVE:
CHEST:  5/22/2011
 COMPARISON:  may 22nd
 CLINICAL HISTORY:  99-one year-old male with pneumothorax.  
 IMPRESSION:
 1.  PA AND LATERAL UPRIGHT VIEWS OF THE CHEST DEMONSTRATE A LEFT 
PLEURAL PIGTAIL CATHETER.  PERSISTENT TINY LEFT APICAL PNEUMOTHORAX 
IS PRESENT.  
 2.  STABLE BORDERLINE CARDIOMEGALY WITH NO EVIDENCE OF PULMONARY 
EDEMA.  SMALL BILATERAL PLEURAL EFFUSIONS ARE STABLE.  
 3.  REDEMONSTRATION OF POSTSURGICAL CHANGES OF CARDIAC VALVE 
SURGERY.  
 SUMMARY:2-ABNORMAL, PREVIOUSLY REPORTED                                      
ACCESSION NUMBER:
096458968
This report has been anonymized. All dates are offset from the actual dates by a fixed interval associated with the patient.</x:v>
      </x:c>
      <x:c r="F58" s="27" t="str">
        <x:v>NARRATIVE:
COMPARISON: 14/8
IMPRESSION:
CARDIAC SILHOUETTE IS UNREMARKABLE.  AORTA IS ATHEROSCLEROTIC.  
STERNAL WIRES ARE STABLE.  REDEMONSTRATION OF A PROSTHETIC VALVE.  
THE LUNGS ARE CLEAR.  THERE IS NO PULMONARY EDEMA.  PLEURAL EFFUSIONS 
HAVE RESOLVED IN THE INTERIM.  NO ACUTE BONY ABNORMALITIES ARE NOTED.
 SUMMARY: 2-ABNORMAL, PREVIOUSLY REPORTED
ACCESSION NUMBER:
I349TMC
This report has been anonymized. All dates are offset from the actual dates by a fixed interval associated with the patient.</x:v>
      </x:c>
      <x:c r="G58" s="28" t="str">
        <x:v>Resolved</x:v>
      </x:c>
      <x:c r="H58" s="29" t="str"/>
      <x:c r="I58" s="29" t="str"/>
      <x:c r="J58" s="29" t="str"/>
      <x:c r="K58" s="30"/>
      <x:c r="L58" s="29" t="str"/>
      <x:c r="M58" s="31" t="str">
        <x:f>IF(H58="","待填写标签",IF(AND(H58="Unusable",I58=""),"需填写不可用原因",IF(J58="","需填写审核人",IF(K58="","需填写日期","完成"))))</x:f>
        <x:v>待填写标签</x:v>
      </x:c>
    </x:row>
    <x:row r="59" ht="72" customHeight="1">
      <x:c r="A59" s="25" t="n">
        <x:v>58</x:v>
      </x:c>
      <x:c r="B59" s="26" t="str">
        <x:v>review_0211</x:v>
      </x:c>
      <x:c r="C59" s="26" t="str">
        <x:v>chexpert_plus</x:v>
      </x:c>
      <x:c r="D59" s="27" t="str">
        <x:v>Lung Opacity</x:v>
      </x:c>
      <x:c r="E59" s="27" t="str">
        <x:v>NARRATIVE:
CHEST: 11-1-05
CLINICAL HISTORY: Vasculitis, duodenal bleed.
COMPARISON: 11/1/2005, 11-1-05.
IMPRESSION:
1. NO CHANGE IN T-TUBE, LEFT SUBCLAVIAN CENTRAL VENOUS LINE,
SUBCLAVIAN SHILEY CATHETER.
2. PERSISTENT, ILL-DEFINED PATCHY OPACITIES BILATERALLY,
SYMMETRICALLY, AND PATTERN COMPATIBLE WITH EDEMA/ARDS. OVERALL
UNCHANGED SINCE THE PRIOR STUDIES.
3. LOWER LUNG VOLUMES SINCE THE PRIOR STUDIES.
END OF IMPRESSION:
SUMMARY: Possible significant abnormality/change, may need change.
I have personally reviewed the images for this examination and agree
with the report transcribed above.
By: MD Addilyn.  on: 2005-01-11
ACCESSION NUMBER:
Zmompv
This report has been anonymized. All dates are offset from the actual dates by a fixed interval associated with the patient.</x:v>
      </x:c>
      <x:c r="F59" s="27" t="str">
        <x:v>NARRATIVE:
9-27-2020 AND 9-27-2020.
COMPARISON: 9/27/2020.
FINDINGS:
Serial AP radiographs of the chest demonstrate that the
endotracheal tube and bilateral subclavian lines are unchanged.
The right internal jugular line has been removed. There is
redemonstration of diffuse alveolar opacities that are initially
unchanged but appear slightly improved on the more recent film.
The cardiomediastinal silhouette is within normal limits.
IMPRESSION:
1. RIGHT INTERNAL JUGULAR LINE HAS BEEN REMOVED. OTHER LINES AND
TUBES ARE STABLE.
2. SLIGHT INTERVAL DECREASE IN SUPERIOR PULMONARY EDEMA.
END OF IMPRESSION:
SUMMARY: 2
I have personally reviewed the images for this examination and agree
with the report transcribed above.
By: vega ivan j  on: 9/27/2020
ACCESSION NUMBER:
57315332EP7R
This report has been anonymized. All dates are offset from the actual dates by a fixed interval associated with the patient.</x:v>
      </x:c>
      <x:c r="G59" s="28" t="str">
        <x:v>Improved</x:v>
      </x:c>
      <x:c r="H59" s="29" t="str"/>
      <x:c r="I59" s="29" t="str"/>
      <x:c r="J59" s="29" t="str"/>
      <x:c r="K59" s="30"/>
      <x:c r="L59" s="29" t="str"/>
      <x:c r="M59" s="31" t="str">
        <x:f>IF(H59="","待填写标签",IF(AND(H59="Unusable",I59=""),"需填写不可用原因",IF(J59="","需填写审核人",IF(K59="","需填写日期","完成"))))</x:f>
        <x:v>待填写标签</x:v>
      </x:c>
    </x:row>
    <x:row r="60" ht="72" customHeight="1">
      <x:c r="A60" s="25" t="n">
        <x:v>59</x:v>
      </x:c>
      <x:c r="B60" s="26" t="str">
        <x:v>review_0179</x:v>
      </x:c>
      <x:c r="C60" s="26" t="str">
        <x:v>chexpert_plus</x:v>
      </x:c>
      <x:c r="D60" s="27" t="str">
        <x:v>Atelectasis</x:v>
      </x:c>
      <x:c r="E60" s="27" t="str">
        <x:v>NARRATIVE:
CHEST, ONE VIEW:  10/13/15 at 0504 hours
CLINICAL HISTORY:  Eighty-two year-old male, ICU follow-up with a 
history of chronic obstructive pulmonary disease and cholecystitis. 
FINDINGS:  Single frontal view of the chest done on 10/13/2015 at 
0504 hours demonstrates an endotracheal tube located 7.7 cm above the 
carina, nasogastric tube passing through the gastroesophageal 
junction, AICD with two leads in the right atrium and right 
ventricle.  
Slightly increased interstitial markings.  Bibasilar opacities left 
greater than right.  Bullous emphysematous disease with a large 
bullous formation seen in the left lung zone.  Haziness of the left 
lower lung which likely represents a left pleural effusion.  
Bilateral apical scarring.  Focal nodular opacities seen in the left 
lung zone above the bullous formation which is also seen on the prior 
film.  Recommend CT for better evaluation.  
IMPRESSION:
1.  LEFT GREATER THAN RIGHT BIBASILAR OPACITIES.  BULLOUS 
EMPHYSEMATOUS DISEASE.  
2.  LEFT PLEURAL EFFUSION.  
3.  APICAL SCARRING OF THE BILATERAL LUNGS.  
4.  FOCAL NODULAR OPACITY SEEN IN THE LEFT LOWER LUNG ZONE, WHICH 
WOULD BE  BETTER EVALUATED WITH CT.  
SUMMARY:4-POSSIBLE SIGNIFICANT FINDINGS, MAY NEED ACTION              
I have personally reviewed the images for this examination and agreed
with the report transcribed above.
ACCESSION NUMBER:
UJND
This report has been anonymized. All dates are offset from the actual dates by a fixed interval associated with the patient.</x:v>
      </x:c>
      <x:c r="F60" s="27" t="str">
        <x:v>NARRATIVE:
CHEST, ONE VIEW:  3/7/01 AT 0753 HOURS.
 CLINICAL HISTORY:  This is an 82-year-old male with chest tube.
 IMPRESSION: 
 1.  SINGLE FRONTAL VIEW OF THE CHEST DONE 3/2001 AT 0753 HOURS 
DEMONSTRATES INTERVAL REMOVAL OF NG TUBE AND ET TUBE.  
REDEMONSTRATION OF TWO LEAD PACEMAKER SEEN IN THE RIGHT ATRIUM AND 
RIGHT VENTRICLE, LEFT CHEST TUBE.  
 2.  REDEMONSTRATION OF PNEUMOTHORAX SEEN ON THE LEFT.  STABLE.  
THERE IS EMPHYSEMATOUS BULLAE SEEN IN THE BILATERAL UPPER LOBES.  
INCREASED ATELECTASIS OF THE LEFT BASE WITH THE PREVIOUSLY DISCOVERED 
NODULE SEEN ON CT NOT CLEARLY DEMONSTRATED.  STABLE CARDIOMEDIASTINAL 
SILHOUETTE AND PULMONARY VASCULARITY.  BIBASILAR OPACITY, LEFT 
GREATER THAN RIGHT. 
 SUMMARY:2-ABNORMAL, PREVIOUSLY REPORTED   
I have personally reviewed the images for this examination and agreed
with the report transcribed above.
ACCESSION NUMBER:
381.590.475
This report has been anonymized. All dates are offset from the actual dates by a fixed interval associated with the patient.</x:v>
      </x:c>
      <x:c r="G60" s="28" t="str">
        <x:v>Worse</x:v>
      </x:c>
      <x:c r="H60" s="29" t="str"/>
      <x:c r="I60" s="29" t="str"/>
      <x:c r="J60" s="29" t="str"/>
      <x:c r="K60" s="30"/>
      <x:c r="L60" s="29" t="str"/>
      <x:c r="M60" s="31" t="str">
        <x:f>IF(H60="","待填写标签",IF(AND(H60="Unusable",I60=""),"需填写不可用原因",IF(J60="","需填写审核人",IF(K60="","需填写日期","完成"))))</x:f>
        <x:v>待填写标签</x:v>
      </x:c>
    </x:row>
    <x:row r="61" ht="72" customHeight="1">
      <x:c r="A61" s="25" t="n">
        <x:v>60</x:v>
      </x:c>
      <x:c r="B61" s="26" t="str">
        <x:v>review_0213</x:v>
      </x:c>
      <x:c r="C61" s="26" t="str">
        <x:v>chexpert_plus</x:v>
      </x:c>
      <x:c r="D61" s="27" t="str">
        <x:v>Pleural Effusion</x:v>
      </x:c>
      <x:c r="E61" s="27" t="str">
        <x:v>NARRATIVE:
CHEST X-RAY: 10/14/2006
REASON FOR EXAMINATION: Follow-up effusion.
IMPRESSION:
1. ON DIRECT COMPARISON WITH PRIOR EXAMINATION 10/2006, THE
LOCULATED LEFT PLEURAL EFFUSION HAS DECREASED IN SIZE. THERE MAY
BE MINIMAL RESIDUAL FLUID AND/OR SCARRING.
2. CORONARY ARTERY BYPASS.
3. AORTIC ARCH CALCIFICATIONS.
END OF IMPRESSION:
ACCESSION NUMBER:
NMTYWKOEHHD
This report has been anonymized. All dates are offset from the actual dates by a fixed interval associated with the patient.</x:v>
      </x:c>
      <x:c r="F61" s="27" t="str">
        <x:v>NARRATIVE:
TWO VIEW CHEST: 6/10/2000
COMPARISON: 6/10/00.
IMPRESSION:
1. UPRIGHT PA AND LATERAL CHEST RADIOGRAPHS DEMONSTRATE STABLE
POSTSURGICAL CHEST WITH IMPROVED AERATION AT THE LEFT LUNG BASE.
THERE IS PERSISTENT PLEURAL THICKENING AND/OR LOCULATED PLEURAL
EFFUSION THAT IS LESS PROMINENT THAN THAT SEEN ON THE PRIOR
EXAMINATION.
2. OTHERWISE, NO NEW ACUTE CARDIOPULMONARY FINDINGS.
END OF IMPRESSION
SUMMARY: 2 ABNORMAL, PREVIOUSLY REPORTED.
ACCESSION NUMBER:
ryfpxhz
This report has been anonymized. All dates are offset from the actual dates by a fixed interval associated with the patient.</x:v>
      </x:c>
      <x:c r="G61" s="28" t="str">
        <x:v>Improved</x:v>
      </x:c>
      <x:c r="H61" s="29" t="str"/>
      <x:c r="I61" s="29" t="str"/>
      <x:c r="J61" s="29" t="str"/>
      <x:c r="K61" s="30"/>
      <x:c r="L61" s="29" t="str"/>
      <x:c r="M61" s="31" t="str">
        <x:f>IF(H61="","待填写标签",IF(AND(H61="Unusable",I61=""),"需填写不可用原因",IF(J61="","需填写审核人",IF(K61="","需填写日期","完成"))))</x:f>
        <x:v>待填写标签</x:v>
      </x:c>
    </x:row>
    <x:row r="62" ht="72" customHeight="1">
      <x:c r="A62" s="25" t="n">
        <x:v>61</x:v>
      </x:c>
      <x:c r="B62" s="26" t="str">
        <x:v>review_0082</x:v>
      </x:c>
      <x:c r="C62" s="26" t="str">
        <x:v>mimic_cxr_jpg</x:v>
      </x:c>
      <x:c r="D62" s="27" t="str">
        <x:v>Lung Opacity</x:v>
      </x:c>
      <x:c r="E62" s="27" t="str">
        <x:v>FINAL REPORT
 EXAMINATION:  CHEST (PORTABLE AP)
 INDICATION:  ___ year old woman with free air on upright chest film yesterday,
 pls eval upright chest for interval change  // ___ year old woman with free air
 on upright chest film yesterday, pls eval upright chest for interval change   
 ___ year old woman with free air on upright chest film yester
 COMPARISON:  CHEST RADIOGRAPHS ___, MOST RECENTLY ___.
 IMPRESSION: 
 Pneumoperitoneum is probably still present, difficult to see beneath the right
 hemidiaphragm because of non erect positioning.  New opacification at the base
 of the left lower lobe could be either atelectasis or pneumonia particularly
 due to aspiration. The upper lungs are clear. The heart is normal size.</x:v>
      </x:c>
      <x:c r="F62" s="27" t="str">
        <x:v>FINAL REPORT
 EXAMINATION:  CHEST (PORTABLE AP)
 INDICATION:  ___ year old woman with free air on upright chest film yesterday,
 pls eval upright chest for interval change on ___ am  // ___ year old woman
 with fere air on upright chest film yesterday, pls eval upright chest for
 interval change on ___ am
 COMPARISON:  ___.
 IMPRESSION: 
 As compared to the previous radiograph, the patient is now in semi-erect
 position.  There is a progression of the left basal parenchymal opacity that
 is now substantially more extensive and severe. In addition, there is minimal
 blunting of the left costophrenic sinus, potentially caused by a small left
 pleural effusion. The lung volumes are low. Moderate cardiomegaly without
 overt pulmonary edema.  No pneumothorax.</x:v>
      </x:c>
      <x:c r="G62" s="28" t="str">
        <x:v>Worse</x:v>
      </x:c>
      <x:c r="H62" s="29" t="str"/>
      <x:c r="I62" s="29" t="str"/>
      <x:c r="J62" s="29" t="str"/>
      <x:c r="K62" s="30"/>
      <x:c r="L62" s="29" t="str"/>
      <x:c r="M62" s="31" t="str">
        <x:f>IF(H62="","待填写标签",IF(AND(H62="Unusable",I62=""),"需填写不可用原因",IF(J62="","需填写审核人",IF(K62="","需填写日期","完成"))))</x:f>
        <x:v>待填写标签</x:v>
      </x:c>
    </x:row>
    <x:row r="63" ht="72" customHeight="1">
      <x:c r="A63" s="25" t="n">
        <x:v>62</x:v>
      </x:c>
      <x:c r="B63" s="26" t="str">
        <x:v>review_0126</x:v>
      </x:c>
      <x:c r="C63" s="26" t="str">
        <x:v>chexpert_plus</x:v>
      </x:c>
      <x:c r="D63" s="27" t="str">
        <x:v>Lung Opacity</x:v>
      </x:c>
      <x:c r="E63" s="27" t="str">
        <x:v>NARRATIVE:
CHEST:  10/5/2021
COMPARISON:  10-5-2021
CLINICAL HISTORY:  51 -year-old male, follow-up.
IMPRESSION:
1. SINGLE FRONTAL UPRIGHT VIEW OF THE CHEST DEMONSTRATES INTERVAL
REMOVAL OF THE FEEDING TUBE. THE LEFT UPPER EXTREMITY PICC LINE IS IN
STABLE POSITION.
2. NO SIGNIFICANT INTERVAL CHANGE WITH PERSISTENT BIBASILAR
ATELECTASIS AND SMALL LEFT PLEURAL EFFUSION. NO EVIDENCE FOR
PULMONARY EDEMA.
SUMMARY:2-ABNORMAL, PREVIOUSLY REPORTED
I have personally reviewed the images for this examination and agreed
with the report transcribed above.
ACCESSION NUMBER:
TMKPNPH
This report has been anonymized. All dates are offset from the actual dates by a fixed interval associated with the patient.</x:v>
      </x:c>
      <x:c r="F63" s="27" t="str">
        <x:v>NARRATIVE:
CHEST:  5-25-2004
COMPARISON:   5-25-04, 5-25-2004 and 5-25-04
CLINICAL HISTORY: Infiltrate.
IMPRESSION:
1. LEFT PICC LINE REMAINS   IN PLACE.
2.  LOW VOLUMES PERSIST WITH INCREASED OPACITY IN BILATERAL BASES AND
ASSOCIATED SMALL LEFT-SIDED PLEURAL EFFUSION.
SUMMARY:2-ABNORMAL, PREVIOUSLY REPORTED
ACCESSION NUMBER:
04240392
This report has been anonymized. All dates are offset from the actual dates by a fixed interval associated with the patient.</x:v>
      </x:c>
      <x:c r="G63" s="28" t="str">
        <x:v>Worse</x:v>
      </x:c>
      <x:c r="H63" s="29" t="str"/>
      <x:c r="I63" s="29" t="str"/>
      <x:c r="J63" s="29" t="str"/>
      <x:c r="K63" s="30"/>
      <x:c r="L63" s="29" t="str"/>
      <x:c r="M63" s="31" t="str">
        <x:f>IF(H63="","待填写标签",IF(AND(H63="Unusable",I63=""),"需填写不可用原因",IF(J63="","需填写审核人",IF(K63="","需填写日期","完成"))))</x:f>
        <x:v>待填写标签</x:v>
      </x:c>
    </x:row>
    <x:row r="64" ht="72" customHeight="1">
      <x:c r="A64" s="25" t="n">
        <x:v>63</x:v>
      </x:c>
      <x:c r="B64" s="26" t="str">
        <x:v>review_0061</x:v>
      </x:c>
      <x:c r="C64" s="26" t="str">
        <x:v>mimic_cxr_jpg</x:v>
      </x:c>
      <x:c r="D64" s="27" t="str">
        <x:v>Pleural Effusion</x:v>
      </x:c>
      <x:c r="E64" s="27" t="str">
        <x:v>FINAL REPORT
 EXAMINATION:  CHEST (PORTABLE AP)
 INDICATION:  ___ year old man with as above  // s/p CABG w/dropping HCT r/o
 effusion      s/p CABG w/dropping HCT r/o effusion
 IMPRESSION: 
 In comparison with the study of ___, there is little overall change. 
 No evidence of widening of the mediastinum.  Right IJ sheath remains in place.
 Bibasilar opacifications, more prominent on the left, are again consistent
 with pleural effusion and underlying compressive atelectasis.</x:v>
      </x:c>
      <x:c r="F64" s="27" t="str">
        <x:v>FINAL REPORT
 EXAMINATION:  CHEST (PA AND LAT)
 INDICATION:  ___ year old man s/p CABG  // predischarge eval
 TECHNIQUE:  Chest PA and lateral
 COMPARISON:  ___
 IMPRESSION: 
 There is small to moderate bilateral pleural effusions, similar to prior. 
 There is volume loss at both bases.  The right IJ line is just below the
 cavoatrial junction.  The upper lungs are clear.</x:v>
      </x:c>
      <x:c r="G64" s="28" t="str">
        <x:v>Stable</x:v>
      </x:c>
      <x:c r="H64" s="29" t="str"/>
      <x:c r="I64" s="29" t="str"/>
      <x:c r="J64" s="29" t="str"/>
      <x:c r="K64" s="30"/>
      <x:c r="L64" s="29" t="str"/>
      <x:c r="M64" s="31" t="str">
        <x:f>IF(H64="","待填写标签",IF(AND(H64="Unusable",I64=""),"需填写不可用原因",IF(J64="","需填写审核人",IF(K64="","需填写日期","完成"))))</x:f>
        <x:v>待填写标签</x:v>
      </x:c>
    </x:row>
    <x:row r="65" ht="72" customHeight="1">
      <x:c r="A65" s="25" t="n">
        <x:v>64</x:v>
      </x:c>
      <x:c r="B65" s="26" t="str">
        <x:v>review_0001</x:v>
      </x:c>
      <x:c r="C65" s="26" t="str">
        <x:v>mimic_cxr_jpg</x:v>
      </x:c>
      <x:c r="D65" s="27" t="str">
        <x:v>Cardiomegaly</x:v>
      </x:c>
      <x:c r="E65" s="27" t="str">
        <x:v>FINAL REPORT
 EXAMINATION:  CHEST (PA AND LAT)
 INDICATION:  ___-year-old man status-post CABG; predischarge evaluation.
 COMPARISON:  Chest radiograph dated ___.
 FINDINGS: 
 Interval removal of the right IJ. No pneumothorax or subcutaneous emphysema.
 Mild pulmonary vascular congestion, slightly improved. Interval improvement in
 left lower lobe atelectasis. Stable small left pleural effusion. Stable
 prominent cardiomegaly and mediastinal contours. The two-lead cardiac device
 and sternotomy wires appear intact and unchanged in position. Incidental right
 clips from prior shoulder surgery appear intact. Incidental stable
 degenerative changes in the visualized thoracic spine.
 IMPRESSION: 
 1. No pneumothorax.
 2. Interval improvement in pulmonary vascular congestion and left lower lobe
 atelectasis.
 3. Persistent small left pulmonary effusion.</x:v>
      </x:c>
      <x:c r="F65" s="27" t="str">
        <x:v>WET READ: ___ ___ ___ 8:18 AM
  Moderate cardiomegaly, mild pulmonary vascular congestion, and left lower lobe
  atelectasis, which are grossly unchanged since the radiograph of ___
  ___.  Opacity in the left lower lobe may reflect pneumonia in the correct
  clinical setting.
 WET READ VERSION #1 ___ ___ ___ 11:28 PM
  Moderate cardiomegaly, mild pulmonary vascular congestion, and left lower lobe
  atelectasis, which are grossly unchanged since the radiograph of ___
  ___.  No new focal consolidation.
 ______________________________________________________________________________
                                 FINAL REPORT
 EXAMINATION:   A ___
 INDICATION:  ___M with fever.  Eval for acute process.
 TECHNIQUE:  Chest PA and lateral
 COMPARISON:  Chest radiograph of ___.
 FINDINGS: 
 Compared with the prior radiograph, there is persistent mild pulmonary
 vascular congestion.  Moderate cardiomegaly is unchanged.  Opacity in the left
 lower lobe may reflect pneumonia in the correct clinical setting.  Median
 sternotomy wires are intact, and there is no change in the left-sided
 pacemaker lead positions.  Anchors overlying the right humeral head are
 unchanged.
 IMPRESSION: 
 Confluent left retrocardiac opacity which may reflect pneumonia in the
 appropriate clinical setting.  .
 RECOMMENDATION(S):  Followup chest radiographs in 4 weeks following antibiotic
 therapy to ensure resolution.
 NOTIFICATION:  Updated read was communicated by Dr. ___ to Dr. ___ at
 08:15 on ___.</x:v>
      </x:c>
      <x:c r="G65" s="28" t="str">
        <x:v>Stable</x:v>
      </x:c>
      <x:c r="H65" s="29" t="str"/>
      <x:c r="I65" s="29" t="str"/>
      <x:c r="J65" s="29" t="str"/>
      <x:c r="K65" s="30"/>
      <x:c r="L65" s="29" t="str"/>
      <x:c r="M65" s="31" t="str">
        <x:f>IF(H65="","待填写标签",IF(AND(H65="Unusable",I65=""),"需填写不可用原因",IF(J65="","需填写审核人",IF(K65="","需填写日期","完成"))))</x:f>
        <x:v>待填写标签</x:v>
      </x:c>
    </x:row>
    <x:row r="66" ht="72" customHeight="1">
      <x:c r="A66" s="25" t="n">
        <x:v>65</x:v>
      </x:c>
      <x:c r="B66" s="26" t="str">
        <x:v>review_0104</x:v>
      </x:c>
      <x:c r="C66" s="26" t="str">
        <x:v>mimic_cxr_jpg</x:v>
      </x:c>
      <x:c r="D66" s="27" t="str">
        <x:v>Pleural Effusion</x:v>
      </x:c>
      <x:c r="E66" s="27" t="str">
        <x:v>FINAL REPORT
 EXAMINATION:  Chest radiographs.
 INDICATION:  Weakness and shortness of breath.
 TECHNIQUE:  Chest, AP and lateral.
 COMPARISON:  ___.
 FINDINGS: 
 A left-sided PICC line terminates in the lower superior vena cava.  There are
 moderate bilateral pleural effusions which are similar to increased allowing
 for differences in technique. Coinciding atelectasis is likely in the lower
 lungs.  Fissures are thickened. Pulmonary edema has worsened and is moderate
 in severity.
 IMPRESSION: 
 Findings consistent with moderate pulmonary edema with substantial bilateral
 pleural effusions.</x:v>
      </x:c>
      <x:c r="F66" s="27" t="str">
        <x:v>FINAL REPORT
 INDICATION:  Shortness of breath.
 COMPARISON:  Chest radiograph from ___.
 TECHNIQUE:  On frontal chest radiograph.
 FINDINGS: 
 A left-sided PICC terminates at the lower SVC.  The heart size is normal.  The
 hilar and mediastinal contours are within normal limits.  A moderately
 calcified aortic arch is unchanged.  Small bilateral pleural effusions are
 markedly decreased in size since the ___ examination. There is no
 vascular congestion or pulmonary edema.  There is no pneumothorax or
 superimposed consolidation.
 IMPRESSION: 
 Marked interval decrease in size of bilateral pleural effusions, now small. 
 No pulmonary vascular congestion. Normal heart size.</x:v>
      </x:c>
      <x:c r="G66" s="28" t="str">
        <x:v>Improved</x:v>
      </x:c>
      <x:c r="H66" s="29" t="str"/>
      <x:c r="I66" s="29" t="str"/>
      <x:c r="J66" s="29" t="str"/>
      <x:c r="K66" s="30"/>
      <x:c r="L66" s="29" t="str"/>
      <x:c r="M66" s="31" t="str">
        <x:f>IF(H66="","待填写标签",IF(AND(H66="Unusable",I66=""),"需填写不可用原因",IF(J66="","需填写审核人",IF(K66="","需填写日期","完成"))))</x:f>
        <x:v>待填写标签</x:v>
      </x:c>
    </x:row>
    <x:row r="67" ht="72" customHeight="1">
      <x:c r="A67" s="25" t="n">
        <x:v>66</x:v>
      </x:c>
      <x:c r="B67" s="26" t="str">
        <x:v>review_0041</x:v>
      </x:c>
      <x:c r="C67" s="26" t="str">
        <x:v>mimic_cxr_jpg</x:v>
      </x:c>
      <x:c r="D67" s="27" t="str">
        <x:v>Pneumonia</x:v>
      </x:c>
      <x:c r="E67" s="27" t="str">
        <x:v>FINAL REPORT
 TYPE OF EXAMINATION:  Chest PA and lateral.
 INDICATION:  ___-year-old male patient with history of esophageal cancer and
 neo-esophagus operation.  The patient has now crackles on right base. 
 Questionable infectious process in right lower lobe ?
 FINDINGS:  PA and lateral chest views were obtained with patient in upright
 position.  Analysis is performed in direct comparison with the next preceding
 similar chest examination of ___.  Heart size and appearance of
 thoracic aorta are unchanged.  Right-sided cardiac contour obliterated partly
 by the retrocardiac structure which is a component of the known neo-esophagus
 contours and existed already on a previous chest CT of ___.  Pulmonary
 vasculature is not congested and there are no signs of new acute pulmonary
 parenchymal infiltrates anywhere in the lungs.  The lateral and posterior
 pleural sinuses are free from any fluid accumulation.  No pneumothorax is
 present in the apical area.  Specifically, no suspicious densities are
 identified in the right lower lobe area where suspicious crackles were noted.
 IMPRESSION:  Stable chest findings status post esophageal cancer and
 pull-through operation.  No evidence of CHF or acute pulmonary infiltrates.</x:v>
      </x:c>
      <x:c r="F67" s="27" t="str">
        <x:v>FINAL REPORT
 INDICATION:  Esophageal cancer status post surgery with ongoing cough,
 crackles at the right base, question infectious process.
 COMPARISONS:  Chest radiograph from ___ and chest CT from
 ___.
 FINDINGS:  PA and lateral chest radiographs are provided.  Previously noted
 right lower lobe pneumonia has resolved.  There is no focal consolidation,
 pleural effusion or pneumothorax.  Retrocardiac atelectasis is noted. 
 Cardiomegaly is stable.
 IMPRESSION:  No acute cardiopulmonary process
 These findings were discussed with ___ by Dr. ___ ___
 telephone per request.</x:v>
      </x:c>
      <x:c r="G67" s="28" t="str">
        <x:v>Resolved</x:v>
      </x:c>
      <x:c r="H67" s="29" t="str"/>
      <x:c r="I67" s="29" t="str"/>
      <x:c r="J67" s="29" t="str"/>
      <x:c r="K67" s="30"/>
      <x:c r="L67" s="29" t="str"/>
      <x:c r="M67" s="31" t="str">
        <x:f>IF(H67="","待填写标签",IF(AND(H67="Unusable",I67=""),"需填写不可用原因",IF(J67="","需填写审核人",IF(K67="","需填写日期","完成"))))</x:f>
        <x:v>待填写标签</x:v>
      </x:c>
    </x:row>
    <x:row r="68" ht="72" customHeight="1">
      <x:c r="A68" s="25" t="n">
        <x:v>67</x:v>
      </x:c>
      <x:c r="B68" s="26" t="str">
        <x:v>review_0088</x:v>
      </x:c>
      <x:c r="C68" s="26" t="str">
        <x:v>mimic_cxr_jpg</x:v>
      </x:c>
      <x:c r="D68" s="27" t="str">
        <x:v>Edema</x:v>
      </x:c>
      <x:c r="E68" s="27" t="str">
        <x:v>FINAL REPORT
 EXAMINATION:  CHEST (PORTABLE AP)
 INDICATION:  ___ year old man with HIV, acute SOB and CP after removing RIJ
 central line  // r/o pneumothorax, infiltrate, edema
 TECHNIQUE:  Single frontal view of the chest
 COMPARISON:  ___
 IMPRESSION: 
 There is low lung volumes , crowding of the vasculature, and mild vascular
 congestion. There are apparent small bilateral effusions and bibasilar
 atelectasis larger on the left. There is no pneumothorax. Cardiac size is
 top-normal.</x:v>
      </x:c>
      <x:c r="F68" s="27" t="str">
        <x:v>FINAL REPORT
 EXAMINATION:  CHEST (PA AND LAT)
 INDICATION:  ___ year old man with AIDS, ARF on IVF, +salmonella on CTX, with
 acute SOB, CP, and cough since ___  // r/o infiltrate, pneumothorax
 TECHNIQUE:  Chest PA and lateral
 COMPARISON:  ___
 FINDINGS: 
 Cardiomediastinal contours are normal.  Vascular congestion has improved.
 Right lower lobe opacity has increased could be atelectasis but pneumonia
 cannot be excluded. Small bilateral effusions are larger on the right. Left
 lower lobe atelectasis has improved. There is no pneumothorax.
 IMPRESSION: 
 Increased opacity in the right lower lobe could be atelectasis but pneumonia
 cannot be excluded.
 Small bilateral effusions</x:v>
      </x:c>
      <x:c r="G68" s="28" t="str">
        <x:v>Improved</x:v>
      </x:c>
      <x:c r="H68" s="29" t="str"/>
      <x:c r="I68" s="29" t="str"/>
      <x:c r="J68" s="29" t="str"/>
      <x:c r="K68" s="30"/>
      <x:c r="L68" s="29" t="str"/>
      <x:c r="M68" s="31" t="str">
        <x:f>IF(H68="","待填写标签",IF(AND(H68="Unusable",I68=""),"需填写不可用原因",IF(J68="","需填写审核人",IF(K68="","需填写日期","完成"))))</x:f>
        <x:v>待填写标签</x:v>
      </x:c>
    </x:row>
    <x:row r="69" ht="72" customHeight="1">
      <x:c r="A69" s="25" t="n">
        <x:v>68</x:v>
      </x:c>
      <x:c r="B69" s="26" t="str">
        <x:v>review_0105</x:v>
      </x:c>
      <x:c r="C69" s="26" t="str">
        <x:v>mimic_cxr_jpg</x:v>
      </x:c>
      <x:c r="D69" s="27" t="str">
        <x:v>Consolidation</x:v>
      </x:c>
      <x:c r="E69" s="27" t="str">
        <x:v>FINAL REPORT
 INDICATION:  ___ year old woman with cirrhosis and minimal abdominal ascites
 w/worsening exercise capacity and abdominal distension.  // hepatohydrothroax?
 TECHNIQUE:  Chest PA and lateral
 COMPARISON:  ___
 FINDINGS: 
 The tip of the right PICC line projects over the superior cavoatrial junction.
 The Dobhoff catheter extends to the body of the stomach. A metallic stent
 (TIPS) projects over the right upper quadrant.
 Small bilateral pleural effusions with adjacent atelectasis and increased
 septal thickening are noted in both lungs.  No pneumothorax.  The size and
 appearance of the cardiac silhouette is unchanged.
 IMPRESSION: 
 Pulmonary interstitial edema with small bilateral pleural effusions.</x:v>
      </x:c>
      <x:c r="F69" s="27" t="str">
        <x:v>FINAL REPORT
 INDICATION:  ___ year old woman with new leukocytosis and prior tube feeding
 w/AMS  // aspiration? pna? effusion?
 TECHNIQUE:  Chest PA and lateral
 COMPARISON:  Chest radiograph dated ___.
 FINDINGS: 
 Interval removal of the enteric tube.  The right PICC line is in unchanged
 position.  Pulmonary edema and pulmonary venous congestion have worsened. 
 Bilateral lower lobe consolidation likely atelectasis is unchanged.
 Superimposed pneumonia cannot be ruled out.  The right upper lobe also has
 increase ill-defined opacification concerning for pneumonia.  Bilateral
 pleural effusions have worsened.  The cardiomediastinal silhouette is
 unchanged.  No pneumothorax.
 IMPRESSION: 
 1.  Worsening pulmonary edema, pulmonary venous congestion, and pleural
 effusion.
 2.  Bilateral lower lobe consolidation could be due to atelectasis versus
 pneumonia.
 3.  Right upper lobe ill-defined opacity is concerning for pneumonia.</x:v>
      </x:c>
      <x:c r="G69" s="28" t="str">
        <x:v>New</x:v>
      </x:c>
      <x:c r="H69" s="29" t="str"/>
      <x:c r="I69" s="29" t="str"/>
      <x:c r="J69" s="29" t="str"/>
      <x:c r="K69" s="30"/>
      <x:c r="L69" s="29" t="str"/>
      <x:c r="M69" s="31" t="str">
        <x:f>IF(H69="","待填写标签",IF(AND(H69="Unusable",I69=""),"需填写不可用原因",IF(J69="","需填写审核人",IF(K69="","需填写日期","完成"))))</x:f>
        <x:v>待填写标签</x:v>
      </x:c>
    </x:row>
    <x:row r="70" ht="72" customHeight="1">
      <x:c r="A70" s="25" t="n">
        <x:v>69</x:v>
      </x:c>
      <x:c r="B70" s="26" t="str">
        <x:v>review_0229</x:v>
      </x:c>
      <x:c r="C70" s="26" t="str">
        <x:v>mimic_cxr_jpg</x:v>
      </x:c>
      <x:c r="D70" s="27" t="str">
        <x:v>Pneumothorax</x:v>
      </x:c>
      <x:c r="E70" s="27" t="str">
        <x:v>FINAL REPORT
 HISTORY:  ___-year-old man with right pneumothorax.  Question interval change.
 COMPARISON:  ___.
 TECHNIQUE:  PA and lateral views of the chest.
 FINDINGS:  The moderate sized right-sided pneumothorax is grossly stable in
 size.  Remainder of this exam remains unchanged.
 IMPRESSION:  Unchanged moderate sized, right-sided pneumothorax.</x:v>
      </x:c>
      <x:c r="F70" s="27" t="str">
        <x:v>FINAL REPORT
 INDICATION:  Right seventh rib fracture, small pneumothorax, now with
 persistent shortness of breath, decreased exercise tolerance.  Please do
 expiratory film as well.  Evaluate for progression of pneumothorax.
 COMPARISON:  Multiple prior radiographs of the chest, most recent ___.
 TECHNIQUE:  Upright PA radiographs of the chest in inspiration and expiration
 and lateral radiograph of the chest in inspiration.
 FINDINGS:  The moderate right pneumothorax has completely resolved.  The lungs
 are well expanded and clear.  The cardiomediastinal silhouette, hilar
 contours, and pleural surfaces are normal.  No pleural effusion is present.
 IMPRESSION:  Interval resolution of right pneumothorax.</x:v>
      </x:c>
      <x:c r="G70" s="28" t="str">
        <x:v>Resolved</x:v>
      </x:c>
      <x:c r="H70" s="29" t="str"/>
      <x:c r="I70" s="29" t="str"/>
      <x:c r="J70" s="29" t="str"/>
      <x:c r="K70" s="30"/>
      <x:c r="L70" s="29" t="str"/>
      <x:c r="M70" s="31" t="str">
        <x:f>IF(H70="","待填写标签",IF(AND(H70="Unusable",I70=""),"需填写不可用原因",IF(J70="","需填写审核人",IF(K70="","需填写日期","完成"))))</x:f>
        <x:v>待填写标签</x:v>
      </x:c>
    </x:row>
    <x:row r="71" ht="72" customHeight="1">
      <x:c r="A71" s="25" t="n">
        <x:v>70</x:v>
      </x:c>
      <x:c r="B71" s="26" t="str">
        <x:v>review_0132</x:v>
      </x:c>
      <x:c r="C71" s="26" t="str">
        <x:v>mimic_cxr_jpg</x:v>
      </x:c>
      <x:c r="D71" s="27" t="str">
        <x:v>Cardiomegaly</x:v>
      </x:c>
      <x:c r="E71" s="27" t="str">
        <x:v>FINAL REPORT
 STUDY:  AP chest, ___.
 CLINICAL HISTORY:  ___-year-old woman with IPH and former smoking.  Thick
 secretions.
 FINDINGS:  Comparison is made to previous study from ___ at 1:59
 a.m.
 Endotracheal tube, feeding tube are unchanged in position.  The heart size is
 normal.  There is no focal consolidation, pleural effusions, pneumothoraces or
 signs for overt pulmonary edema.  The side hole of the nasogastric tube is
 again at the GE junction.</x:v>
      </x:c>
      <x:c r="F71" s="27" t="str">
        <x:v>FINAL REPORT
 STUDY:  AP chest, ___.
 CLINICAL HISTORY:  ___-year-old woman with hypertension.
 FINDINGS:  Comparison is made to prior study from ___.
 Endotracheal tube, feeding tube are stable in position.  There is cardiomegaly
 which is also stable.  There are no focal consolidation, pleural effusions, or
 signs for overt pulmonary edema.  No pneumothoraces are seen.</x:v>
      </x:c>
      <x:c r="G71" s="28" t="str">
        <x:v>New</x:v>
      </x:c>
      <x:c r="H71" s="29" t="str"/>
      <x:c r="I71" s="29" t="str"/>
      <x:c r="J71" s="29" t="str"/>
      <x:c r="K71" s="30"/>
      <x:c r="L71" s="29" t="str"/>
      <x:c r="M71" s="31" t="str">
        <x:f>IF(H71="","待填写标签",IF(AND(H71="Unusable",I71=""),"需填写不可用原因",IF(J71="","需填写审核人",IF(K71="","需填写日期","完成"))))</x:f>
        <x:v>待填写标签</x:v>
      </x:c>
    </x:row>
    <x:row r="72" ht="72" customHeight="1">
      <x:c r="A72" s="25" t="n">
        <x:v>71</x:v>
      </x:c>
      <x:c r="B72" s="26" t="str">
        <x:v>review_0040</x:v>
      </x:c>
      <x:c r="C72" s="26" t="str">
        <x:v>mimic_cxr_jpg</x:v>
      </x:c>
      <x:c r="D72" s="27" t="str">
        <x:v>Lung Opacity</x:v>
      </x:c>
      <x:c r="E72" s="27" t="str">
        <x:v>FINAL REPORT
 EXAMINATION:  CHEST (PORTABLE AP)
 INDICATION:  ___ year old woman with new onset bloody sputum and crackles  //
 r/o cause of hemoptysis
 IMPRESSION: 
 In comparison to ___ chest radiograph, subtle, diffuse pulmonary
 opacities have developed in the right lung, most severe at the right base.  In
 the setting of hemoptysis, pulmonary hemorrhage should be considered, although
 differential diagnosis includes infectious pneumonia, aspiration, and
 asymmetrical edema.  No other relevant change.</x:v>
      </x:c>
      <x:c r="F72" s="27" t="str">
        <x:v>FINAL REPORT
 EXAMINATION:  Portable upright chest x-ray
 INDICATION:  ___ year old woman with hemoptysis, hypoxia  // evaluate for
 worsening extent of opacities/possible pulmonary hemorrhage
 TECHNIQUE:  Portable upright chest x-ray
 COMPARISON:  Comparison is made to chest x-rays dated ___ and ___.
 FINDINGS: 
 In comparison to ___ study there is diffuse pulmonary opacities seen,
 with progression in the right upper and right middle lobes as well as new
 opacities in upper lung.  Again given the setting setting of hemoptysis
 pulmonary hemorrhage cannot be excluded as well as pulmonary edema and
 aspiration.  Given the rapidity of the progression pneumonia is less likely. 
 Again seen is a right jugular central venous catheter which terminates in the
 right atrium.  The cardiomediastinal silhouette appears stable when compared
 to previous studies.
 IMPRESSION: 
 Progression of diffuse pulmonary opacities in the right upper, right middle,
 and left upper lobes that may represent pulmonary hemorrhage in the setting of
 hemoptysis versus pulmonary edema versus aspiration, with pneumonia being less
 likely given rapid time course.</x:v>
      </x:c>
      <x:c r="G72" s="28" t="str">
        <x:v>Worse</x:v>
      </x:c>
      <x:c r="H72" s="29" t="str"/>
      <x:c r="I72" s="29" t="str"/>
      <x:c r="J72" s="29" t="str"/>
      <x:c r="K72" s="30"/>
      <x:c r="L72" s="29" t="str"/>
      <x:c r="M72" s="31" t="str">
        <x:f>IF(H72="","待填写标签",IF(AND(H72="Unusable",I72=""),"需填写不可用原因",IF(J72="","需填写审核人",IF(K72="","需填写日期","完成"))))</x:f>
        <x:v>待填写标签</x:v>
      </x:c>
    </x:row>
    <x:row r="73" ht="72" customHeight="1">
      <x:c r="A73" s="25" t="n">
        <x:v>72</x:v>
      </x:c>
      <x:c r="B73" s="26" t="str">
        <x:v>review_0086</x:v>
      </x:c>
      <x:c r="C73" s="26" t="str">
        <x:v>mimic_cxr_jpg</x:v>
      </x:c>
      <x:c r="D73" s="27" t="str">
        <x:v>Lung Opacity</x:v>
      </x:c>
      <x:c r="E73" s="27" t="str">
        <x:v>FINAL REPORT
 EXAM:  Chest, frontal and lateral views.
 CLINICAL INFORMATION:  Intermittent chest pain for two weeks.
 COMPARISON:  ___.
 FINDINGS:  Frontal and lateral views of the chest were obtained.  Rounded
 retrocardiac density with air-fluid level is consistent with a large hiatal
 hernia, also seen on the prior study.  There is mild adjacent atelectasis.  No
 focal consolidation is seen.  There is no pleural effusion.  The cardiac
 silhouette is stable.  The mediastinal contours are also stable with
 calcification of the aortic knob.  Mid lung scarring is again noted.
 There is adjacent left base atelectasis.  An additional small focus of opacity
 adjacent to the left heart border on the frontal view, not well seen on the
 lateral view may be due to atelectasis, although an early infectious process
 is not excluded in the appropriate clinical setting.
 IMPRESSION:  Large hiatal hernia.  There is adjacent left base atelectasis. 
 An additional small focus of opacity adjacent to the left heart border on the
 frontal view, not well seen on the lateral view may be due to atelectasis,
 although an early infectious process is not excluded in the appropriate
 clinical setting.</x:v>
      </x:c>
      <x:c r="F73" s="27" t="str">
        <x:v>FINAL REPORT
 HISTORY:  Weakness.
 TECHNIQUE:  PA and lateral views of the chest.
 COMPARISON:  ___ chest radiograph.  ___ CT torso.
 FINDINGS:
 Mild enlargement of cardiac silhouette is re- demonstrated with a moderate
 size hiatal hernia again noted.  Atherosclerotic calcifications of the aortic
 knob are present.  Mediastinal contours are otherwise unchanged, and the hilar
 contours are within normal limits.  New focal patchy opacity is noted within
 the periphery of the left upper lung field, with re- demonstration of clusters
 of nodules within the right upper lobe and left lower lobe, as seen on the
 prior CT from ___.  No pleural effusion, pulmonary vascular
 congestion or pneumothorax is seen.  There are mild degenerative changes in
 the thoracic spine.
 IMPRESSION:
 New peripheral patchy opacity within the left upper lung field which could
 reflect an area of infection or inflammation.  Pulmonary infarct also cannot
 be excluded.
 Unchanged clusters of nodules within the right upper lobe and left lower lobe,
 as seen on the previous exams, which may be due to chronic infection or
 inflammation.</x:v>
      </x:c>
      <x:c r="G73" s="28" t="str">
        <x:v>New</x:v>
      </x:c>
      <x:c r="H73" s="29" t="str"/>
      <x:c r="I73" s="29" t="str"/>
      <x:c r="J73" s="29" t="str"/>
      <x:c r="K73" s="30"/>
      <x:c r="L73" s="29" t="str"/>
      <x:c r="M73" s="31" t="str">
        <x:f>IF(H73="","待填写标签",IF(AND(H73="Unusable",I73=""),"需填写不可用原因",IF(J73="","需填写审核人",IF(K73="","需填写日期","完成"))))</x:f>
        <x:v>待填写标签</x:v>
      </x:c>
    </x:row>
    <x:row r="74" ht="72" customHeight="1">
      <x:c r="A74" s="25" t="n">
        <x:v>73</x:v>
      </x:c>
      <x:c r="B74" s="26" t="str">
        <x:v>review_0168</x:v>
      </x:c>
      <x:c r="C74" s="26" t="str">
        <x:v>chexpert_plus</x:v>
      </x:c>
      <x:c r="D74" s="27" t="str">
        <x:v>Lung Opacity</x:v>
      </x:c>
      <x:c r="E74" s="27" t="str">
        <x:v>NARRATIVE:
PORTABLE CHEST, SINGLE AP VIEW: 9/3/2003.
COMPARISON:
Comparison is made with exam from 9/3/2003.
IMPRESSION:
1. INTERVAL DECREASE IN LUNG VOLUMES BILATERALLY.
2. INTERVAL PLACEMENT OF RIGHT INTERNAL JUGULAR SWAN-GANZ CATHETER
WITH TIP IN THE RIGHT INTERLOBAR PULMONARY ARTERY.
3. INTERVAL PLACEMENT OF ENDOTRACHEAL TUBE WITH TIP APPROXIMATELY
2 CM ABOVE THE CARINA.
4. SMALL BILATERAL PLEURAL EFFUSIONS WITH LEFT LOWER LOBE
ATELECTASIS OR CONSOLIDATION.
5. PREVIOUSLY DESCRIBED REGION IN THE RIGHT LOWER LUNG ZONE, NOT
AS WELL EVALUATED LIKELY SECONDARY TO LOW LUNG VOLUMES.
6. NO EVIDENCE OF PNEUMOTHORAX.
END OF IMPRESSION:
I have personally reviewed the images for this examination and agree
with the report transcribed above.
By: Dr. Ortega David  on: 9-3-03
ACCESSION NUMBER:
231122694
This report has been anonymized. All dates are offset from the actual dates by a fixed interval associated with the patient.</x:v>
      </x:c>
      <x:c r="F74" s="27" t="str">
        <x:v>NARRATIVE:
CHEST: Single view.
CLINICAL HISTORY:
Check for infiltrates.
COMPARISON:
11-21-2005
IMPRESSION:
1. LINES AND TUBES ARE UNCHANGED IN POSITION.
2. INCREASING OPACITY BILATERALLY SUGGESTIVE OF INCREASING PLEURAL
EFFUSIONS. PERSISTENT BIBASILAR ATELECTASIS OR CONSOLIDATION. LOW
LUNG VOLUMES.
END OF IMPRESSION:
ACCESSION NUMBER:
#97 90 80 67 99 4
This report has been anonymized. All dates are offset from the actual dates by a fixed interval associated with the patient.</x:v>
      </x:c>
      <x:c r="G74" s="28" t="str">
        <x:v>Worse</x:v>
      </x:c>
      <x:c r="H74" s="29" t="str"/>
      <x:c r="I74" s="29" t="str"/>
      <x:c r="J74" s="29" t="str"/>
      <x:c r="K74" s="30"/>
      <x:c r="L74" s="29" t="str"/>
      <x:c r="M74" s="31" t="str">
        <x:f>IF(H74="","待填写标签",IF(AND(H74="Unusable",I74=""),"需填写不可用原因",IF(J74="","需填写审核人",IF(K74="","需填写日期","完成"))))</x:f>
        <x:v>待填写标签</x:v>
      </x:c>
    </x:row>
    <x:row r="75" ht="72" customHeight="1">
      <x:c r="A75" s="25" t="n">
        <x:v>74</x:v>
      </x:c>
      <x:c r="B75" s="26" t="str">
        <x:v>review_0005</x:v>
      </x:c>
      <x:c r="C75" s="26" t="str">
        <x:v>chexpert_plus</x:v>
      </x:c>
      <x:c r="D75" s="27" t="str">
        <x:v>Enlarged Cardiomediastinum</x:v>
      </x:c>
      <x:c r="E75" s="27" t="str">
        <x:v>NARRATIVE:
RADIOGRAPHIC EXAMINATION OF THE CHEST: 7/26/2016
CLINICAL HISTORY:  age, Unknown, Post L sided chest tube eval..
COMPARISON: 7/26/2016 chest x-ray at 1410. Correlation with same-day CT chest 7/26/2016.
PROCEDURE COMMENTS: Single view of the chest. 
FINDINGS:
Interval placement of a left-sided pigtail chest tube. No definite pneumothorax, which was better visualized on same-day chest CT. The left posterior seventh rib demonstrates a minimally displaced fracture. Other left rib fractures noted on CT are not well visualized. Hazy opacities throughout the left lung may be related to atelectasis or contusion. No focal consolidation. No obvious pleural effusions. Stable cardiomediastinal silhouette.
IMPRESSION:
1.  Hazy opacities in the left lung likely related to contusion and/or atelectasis.
2.  Left posterior seventh rib fracture with other left-sided rib fractures noted on same-day chest CT not well visualized.
"Physician to Physician Radiology Consult Line: (397) 6442582"
Signed
ACCESSION NUMBER:
24585497
This report has been anonymized. All dates are offset from the actual dates by a fixed interval associated with the patient.</x:v>
      </x:c>
      <x:c r="F75" s="27" t="str">
        <x:v>NARRATIVE:
RADIOGRAPHIC EXAMINATION OF THE CHEST: 5/16/2003
CLINICAL HISTORY: 35 years of age, Male, chest tube.
COMPARISON: Radiograph from one day prior.
PROCEDURE COMMENTS: Single view of the chest. 
FINDINGS:
There is redemonstration of the left pleural pigtail drain, in unchanged position.
Low lung volumes accentuate the pulmonary vasculature and heart size. There are increased patchy airspace opacities in the bilateral lungs with a basilar predominance. No pneumothorax is visualized, with sensitivity limited on this semiupright portable view.
The cardiomediastinal silhouette is unchanged.
Multiple posterior left rib fractures are again visualized, better characterized on recent cross-sectional imaging. No new bony abnormalities.
IMPRESSION:
1.  Redemonstrated left-sided chest tube, with no definite residual pneumothorax, although evaluation is limited on portable semierect view.
2.  Increased patchy opacities with a basilar predominance, which are nonspecific, and may represent atelectasis, infection, or aspiration.
3.  Vascular prominence is nonspecific in the setting of markedly low lung volumes.
There are no substantial differences between the preliminary results and the impressions in this final report.
"Physician to Physician Radiology Consult Line: (333) 692-2260"
Signed
ACCESSION NUMBER:
20AkKTzuMl
This report has been anonymized. All dates are offset from the actual dates by a fixed interval associated with the patient.</x:v>
      </x:c>
      <x:c r="G75" s="28" t="str">
        <x:v>Stable</x:v>
      </x:c>
      <x:c r="H75" s="29" t="str"/>
      <x:c r="I75" s="29" t="str"/>
      <x:c r="J75" s="29" t="str"/>
      <x:c r="K75" s="30"/>
      <x:c r="L75" s="29" t="str"/>
      <x:c r="M75" s="31" t="str">
        <x:f>IF(H75="","待填写标签",IF(AND(H75="Unusable",I75=""),"需填写不可用原因",IF(J75="","需填写审核人",IF(K75="","需填写日期","完成"))))</x:f>
        <x:v>待填写标签</x:v>
      </x:c>
    </x:row>
    <x:row r="76" ht="72" customHeight="1">
      <x:c r="A76" s="25" t="n">
        <x:v>75</x:v>
      </x:c>
      <x:c r="B76" s="26" t="str">
        <x:v>review_0184</x:v>
      </x:c>
      <x:c r="C76" s="26" t="str">
        <x:v>chexpert_plus</x:v>
      </x:c>
      <x:c r="D76" s="27" t="str">
        <x:v>Lung Opacity</x:v>
      </x:c>
      <x:c r="E76" s="27" t="str">
        <x:v>NARRATIVE:
499988780, CHEST, SINGLE VIEW: 6/13/2014.
6411046, RIGHT FOOT, THREE VIEWS: 6/13.
#6411046, RIGHT ANKLE, THREE VIEWS: JUNE 2014.
CLINICAL HISTORY: 79-year-old with squamous cell cancer of the right
lower extremity status post XRT with increasing right lower extremity
swelling and acute onset right ankle pain. History of right ankle
dislocation.
IMPRESSION:
1.  SINGLE AP PORTABLE SEMIUPRIGHT VIEW OF THE CHEST DEMONSTRATES A
LEFT   HEMITHORAX DUAL-LEAD PACEMAKER IN PLACE. THERE ARE LOW LUNG
VOLUMES WITH NO EVIDENCE OF ACUTE CARDIOPULMONARY DISEASE. THE AORTA
APPEARS TORTUOUS IN ITS PATH. THERE ARE DEGENERATIVE CHANGES OF THE
RIGHT SHOULDER.
2. THREE VIEWS OF THE RIGHT ANKLE AND THREE VIEWS OF THE RIGHT FOOT
DEMONSTRATE EXTENSIVE SUBCUTANEOUS EDEMA IN THE SOFT TISSUES OF THE
RIGHT LOWER EXTREMITY EXTENDING INTO THE FOOT. THERE IS SEVERE
DEGENERATIVE CHANGE OF THE TIBIOTALAR JOINT WITH FLATTENING OF THE
TALAR DOME, JOINT SPACE NARROWING, SUBCHONDRAL SCLEROSIS AND
OSTEOPHYTOSIS. THERE APPEARS TO BE A SMALL JOINT EFFUSION. THESE
FINDINGS MAY BE DUE TO POST TRAUMATIC CHANGE OR GIVEN ELEVATED ESR
AND CRP, MAY BE DUE TO SEPTIC ARTHRITIS.
3. ALSO DEMONSTRATED IS DJD OF THE METATARSAL PHALANGEAL JOINTS WITH
SUBCHONDRAL SCLEROSIS AND JOINT SPACE NARROWING.
4. OSTEOPENIA, WHICH LIMITS EVALUATION FOR POSSIBLE BONY FRACTURES.
5. APPARENT LUCENCY WITHIN THE DISTAL FIRST PHALANX MAY BE DUE TO
OSTEOPENIA OR MAY REPRESENT SITE OF OSTEOLYSIS.
END OF IMPRESSION.
SUMMARY:4-POSSIBLE SIGNIFICANT FINDINGS, MAY NEED ACTION.
I have personally reviewed the images for this examination and agreed
with the report transcribed above.
ACCESSION NUMBER:
499988780
This report has been anonymized. All dates are offset from the actual dates by a fixed interval associated with the patient.</x:v>
      </x:c>
      <x:c r="F76" s="27" t="str">
        <x:v>NARRATIVE:
EXAM: Chest 1 View, 9-22-2006.
HISTORY: 85 years Female, SOB. 
COMPARISON: 9-22-2006 and prior.
IMPRESSION:
1.  SINGLE FRONTAL RADIOGRAPH OF THE CHEST DEMONSTRATES INTERVAL 
PLACEMENT OF NASOGASTRIC TUBE.  STABLE APPEARANCE OF BIVENTRICULAR 
CARDIAC PACEMAKER/AICD.  OVERLYING DEFIBRILLATOR AND PACING PADS IN 
PLACE.
2.  LUNGS DEMONSTRATE LOW LUNG VOLUMES WITH INCREASED BIBASILAR 
OPACITIES. NO PLEURAL EFFUSIONS.  NO PNEUMOTHORAX.  
SUMMARY:4-POSSIBLY SIGNIFICANT FINDING, MAY NEED ACTION
I have personally reviewed the images for this examination and agreed
with the report transcribed above.
ACCESSION NUMBER:
Htsqedozz
This report has been anonymized. All dates are offset from the actual dates by a fixed interval associated with the patient.</x:v>
      </x:c>
      <x:c r="G76" s="28" t="str">
        <x:v>New</x:v>
      </x:c>
      <x:c r="H76" s="29" t="str"/>
      <x:c r="I76" s="29" t="str"/>
      <x:c r="J76" s="29" t="str"/>
      <x:c r="K76" s="30"/>
      <x:c r="L76" s="29" t="str"/>
      <x:c r="M76" s="31" t="str">
        <x:f>IF(H76="","待填写标签",IF(AND(H76="Unusable",I76=""),"需填写不可用原因",IF(J76="","需填写审核人",IF(K76="","需填写日期","完成"))))</x:f>
        <x:v>待填写标签</x:v>
      </x:c>
    </x:row>
    <x:row r="77" ht="72" customHeight="1">
      <x:c r="A77" s="25" t="n">
        <x:v>76</x:v>
      </x:c>
      <x:c r="B77" s="26" t="str">
        <x:v>review_0169</x:v>
      </x:c>
      <x:c r="C77" s="26" t="str">
        <x:v>chexpert_plus</x:v>
      </x:c>
      <x:c r="D77" s="27" t="str">
        <x:v>Consolidation</x:v>
      </x:c>
      <x:c r="E77" s="27" t="str">
        <x:v>NARRATIVE:
CHEST ONE VIEW: 2/17/2003.
IMPRESSION:
0344 HOURS COMPARED WITH February 17th:
THE SWAN-GANZ CATHETER HAS BEEN REMOVED AND A RIGHT IJ SHEATH WITH
CVP REMAINS. NEGATIVE FOR PNEUMOTHORAX. NO OTHER CHANGE.
END OF IMPRESSION:
SUMMARY 2: Abnormal, previously reported.
ACCESSION NUMBER:
llEoCX
This report has been anonymized. All dates are offset from the actual dates by a fixed interval associated with the patient.</x:v>
      </x:c>
      <x:c r="F77" s="27" t="str">
        <x:v>NARRATIVE:
**SEE IMPRESSION-UNINTELLIGIBLE**
CHEST: 5-30
COMPARISON: 5-30-15
IMPRESSION:
1. BILATERAL PLEURAL EFFUSIONS AND LEFT LOWER LOBE CONSOLIDATION,
UNCHANGED.
2. LINES AND TUBES ARE UNCHANGED.
3. ENLARGED HEART, UNCHANGED.
END OF IMPRESSION:
SUMMARY 2: Abnormal, previously reported.
ACCESSION NUMBER:
18796145
This report has been anonymized. All dates are offset from the actual dates by a fixed interval associated with the patient.</x:v>
      </x:c>
      <x:c r="G77" s="28" t="str">
        <x:v>New</x:v>
      </x:c>
      <x:c r="H77" s="29" t="str"/>
      <x:c r="I77" s="29" t="str"/>
      <x:c r="J77" s="29" t="str"/>
      <x:c r="K77" s="30"/>
      <x:c r="L77" s="29" t="str"/>
      <x:c r="M77" s="31" t="str">
        <x:f>IF(H77="","待填写标签",IF(AND(H77="Unusable",I77=""),"需填写不可用原因",IF(J77="","需填写审核人",IF(K77="","需填写日期","完成"))))</x:f>
        <x:v>待填写标签</x:v>
      </x:c>
    </x:row>
    <x:row r="78" ht="72" customHeight="1">
      <x:c r="A78" s="25" t="n">
        <x:v>77</x:v>
      </x:c>
      <x:c r="B78" s="26" t="str">
        <x:v>review_0087</x:v>
      </x:c>
      <x:c r="C78" s="26" t="str">
        <x:v>mimic_cxr_jpg</x:v>
      </x:c>
      <x:c r="D78" s="27" t="str">
        <x:v>Cardiomegaly</x:v>
      </x:c>
      <x:c r="E78" s="27" t="str">
        <x:v>FINAL REPORT
 INDICATION:  Evaluate pigtail catheter placement, in a patient with a right
 hydro/hemothorax, severe C diff colitis, and hypotension.
 COMPARISON:  Chest radiographs from approximately 4 hours prior on the same
 day and ___.
 FINDINGS: 
 A portable frontal chest radiograph again demonstrates an endotracheal tube
 which terminates in the mid to upper thoracic trachea, enteric tube which
 extends below the diaphragm and off the inferior edge of the image, and a
 right subclavian central catheter, which terminates in the low SVC, all
 unchanged in position.  There has been interval placement of a pigtail
 catheter which projects over the right lung base, with a decreased right
 pleural effusion.  There is a small right apical pneumothorax.  No focal
 consolidation is present.  The visualized upper abdomen is unremarkable.
 IMPRESSION: 
 Interval placement of a right pigtail catheter projecting over the right lung
 base, with resultant decrease right pleural fluid.  There is a new small right
 apical pneumothorax.
 NOTIFICATION:  These findings were communicated via telephone by Dr. ___
 ___ to Dr. ___ at 15:34 on ___, immediately upon discovery.</x:v>
      </x:c>
      <x:c r="F78" s="27" t="str">
        <x:v>FINAL REPORT
 EXAMINATION:  CHEST (PORTABLE AP)
 INDICATION:  ___ year old woman with right exudative pleural effusion,
 intubated, hypotensive with severe c.diff colitis.  // ?interval change in
 apical pneumothorax or effusion
 TECHNIQUE:  Portable AP radiograph of the chest.
 COMPARISON:  ___.
 FINDINGS: 
 The small right pleural effusion with pigtail catheter in place is unchanged. 
 A right subclavian central venous catheter extends to the low SVC. Nasogastric
 tube enters the stomach, tip not visualized.  There is no pneumothorax. 
 Moderate cardiomegaly despite the projection is unchanged.  The splayed hilum
 is likely due to an enlarged left atrium.  The pulmonary artery is enlarged as
 in the past.  A small left pleural effusion with stable retrocardiac airspace
 opacification likely due to atelectasis are both unchanged.
 IMPRESSION: 
 No significant interval change in small bilateral pleural effusions, moderate
 cardiomegaly with left atrial enlargement, and pulmonary hypertension.</x:v>
      </x:c>
      <x:c r="G78" s="28" t="str">
        <x:v>Stable</x:v>
      </x:c>
      <x:c r="H78" s="29" t="str"/>
      <x:c r="I78" s="29" t="str"/>
      <x:c r="J78" s="29" t="str"/>
      <x:c r="K78" s="30"/>
      <x:c r="L78" s="29" t="str"/>
      <x:c r="M78" s="31" t="str">
        <x:f>IF(H78="","待填写标签",IF(AND(H78="Unusable",I78=""),"需填写不可用原因",IF(J78="","需填写审核人",IF(K78="","需填写日期","完成"))))</x:f>
        <x:v>待填写标签</x:v>
      </x:c>
    </x:row>
    <x:row r="79" ht="72" customHeight="1">
      <x:c r="A79" s="25" t="n">
        <x:v>78</x:v>
      </x:c>
      <x:c r="B79" s="26" t="str">
        <x:v>review_0117</x:v>
      </x:c>
      <x:c r="C79" s="26" t="str">
        <x:v>mimic_cxr_jpg</x:v>
      </x:c>
      <x:c r="D79" s="27" t="str">
        <x:v>Pleural Other</x:v>
      </x:c>
      <x:c r="E79" s="27" t="str">
        <x:v>FINAL REPORT
 REASON FOR EXAMINATION:  Followup of the patient after right upper lobectomy.
 AP chest radiograph.
 As compared to prior study obtained on ___ at 1:39 p.m., the
 subcutaneous air appears to be unchanged.  The right chest tube is in place. 
 There is interval decrease in pneumothorax.  Cardiomediastinal silhouette is
 stable and left lung is well aerated except for new left basal atelectasis,
 potentially due to elevation of the hemidiaphragm due to distention of the
 stomach.</x:v>
      </x:c>
      <x:c r="F79" s="27" t="str">
        <x:v>FINAL REPORT
 AP CHEST, 7:32 A.M., ___
 HISTORY:  HIV.  Non-small cell lung cancer.  Pulmonary embolus.  VATS and
 thoracotomy.
 IMPRESSION:  AP chest compared to ___:
 Small right pleural effusion or pleural thickening increased since ___,
 apical pleural tube unchanged in position.  Right apical pneumothorax small,
 decreased since ___.  Mild edema in the right lung slightly worse.  No
 edema in the left lung, although there is left basal consolidation most likely
 atelectasis.  Heart size normal.</x:v>
      </x:c>
      <x:c r="G79" s="28" t="str">
        <x:v>New</x:v>
      </x:c>
      <x:c r="H79" s="29" t="str"/>
      <x:c r="I79" s="29" t="str"/>
      <x:c r="J79" s="29" t="str"/>
      <x:c r="K79" s="30"/>
      <x:c r="L79" s="29" t="str"/>
      <x:c r="M79" s="31" t="str">
        <x:f>IF(H79="","待填写标签",IF(AND(H79="Unusable",I79=""),"需填写不可用原因",IF(J79="","需填写审核人",IF(K79="","需填写日期","完成"))))</x:f>
        <x:v>待填写标签</x:v>
      </x:c>
    </x:row>
    <x:row r="80" ht="72" customHeight="1">
      <x:c r="A80" s="25" t="n">
        <x:v>79</x:v>
      </x:c>
      <x:c r="B80" s="26" t="str">
        <x:v>review_0246</x:v>
      </x:c>
      <x:c r="C80" s="26" t="str">
        <x:v>chexpert_plus</x:v>
      </x:c>
      <x:c r="D80" s="27" t="str">
        <x:v>Edema</x:v>
      </x:c>
      <x:c r="E80" s="27" t="str">
        <x:v>NARRATIVE:
Chest 1 View 2/17/2012
HISTORY: Female, 85 years old, Chest Pain.
COMPARISON: 2/17/12
IMPRESSION:
1.STABLE POSTSURGICAL CHANGES CONSISTENT WITH PRIOR CABG.
2.INCREASED BILATERAL INTERSTITIAL MARKINGS, CONSISTENT WITH MILD 
EDEMA.  
3.STABLE CARDIOMEGALY.
SUMMARY:4-POSSIBLY SIGNIFICANT FINDING, MAY NEED ACTION
I have personally reviewed the images for this examination and agreed
with the report transcribed above.
ACCESSION NUMBER:
72_75_16
This report has been anonymized. All dates are offset from the actual dates by a fixed interval associated with the patient.</x:v>
      </x:c>
      <x:c r="F80" s="27" t="str">
        <x:v>NARRATIVE:
Chest 1 View: 9-8-06
HISTORY: Female, 85 years old, Pulmonary edema.
COMPARISON: SEPTEMBER 2006 855 hours and prior
IMPRESSION: 
Resolved pulmonary edema.  Moderate cardiomegaly.  Minimal bibasilar 
atelectasis with small bilateral pleural effusions.  No pneumothorax.  
Redemonstration midline sternotomy wires and mediastinal clips.
SUMMARY:4-POSSIBLY SIGNIFICANT FINDING, MAY NEED ACTION
ACCESSION NUMBER:
87431242462
This report has been anonymized. All dates are offset from the actual dates by a fixed interval associated with the patient.</x:v>
      </x:c>
      <x:c r="G80" s="28" t="str">
        <x:v>Resolved</x:v>
      </x:c>
      <x:c r="H80" s="29" t="str"/>
      <x:c r="I80" s="29" t="str"/>
      <x:c r="J80" s="29" t="str"/>
      <x:c r="K80" s="30"/>
      <x:c r="L80" s="29" t="str"/>
      <x:c r="M80" s="31" t="str">
        <x:f>IF(H80="","待填写标签",IF(AND(H80="Unusable",I80=""),"需填写不可用原因",IF(J80="","需填写审核人",IF(K80="","需填写日期","完成"))))</x:f>
        <x:v>待填写标签</x:v>
      </x:c>
    </x:row>
    <x:row r="81" ht="72" customHeight="1">
      <x:c r="A81" s="25" t="n">
        <x:v>80</x:v>
      </x:c>
      <x:c r="B81" s="26" t="str">
        <x:v>review_0060</x:v>
      </x:c>
      <x:c r="C81" s="26" t="str">
        <x:v>chexpert_plus</x:v>
      </x:c>
      <x:c r="D81" s="27" t="str">
        <x:v>Pleural Effusion</x:v>
      </x:c>
      <x:c r="E81" s="27" t="str">
        <x:v>NARRATIVE:
RADIOGRAPHIC EXAMINATION OF THE CHEST: 10-17-2003
CLINICAL HISTORY: 57 years of age, Male, SOB.
COMPARISON: None.
PROCEDURE COMMENTS: Single view of the chest. 
FINDINGS:
Upright portable chest radiograph shows normal cardiac mediastinal 
silhouette. Streaky opacifications are visible at the right lung 
base, as well as left basilar consolidation with small left basilar 
pleural effusion. No evidence for pneumothorax.
IMPRESSION:
1. Streaky opacifications at the right lung base, concerning for 
infection or aspiration.
2. Consolidation of the left lower lobe.
I have personally reviewed the images for this examination and agreed
with the report transcribed above.
ACCESSION NUMBER:
7799-749
This report has been anonymized. All dates are offset from the actual dates by a fixed interval associated with the patient.</x:v>
      </x:c>
      <x:c r="F81" s="27" t="str">
        <x:v>NARRATIVE:
RADIOGRAPHIC EXAMINATION OF THE CHEST: 3/10/2013
CLINICAL HISTORY: 57 years of age, Male, SOB and volume overload.
COMPARISON: Chest radiograph 2/6/200
PROCEDURE COMMENTS: Two views of the chest. 
FINDINGS:
There has been interval worsening of the left pleural effusion in the 
left basilar opacity, likely representing compressive atelectasis or 
infection. There is little, if any, pulmonary edema. The 
cardiomediastinal silhouette is unchanged.
IMPRESSION:
1.  Interval worsening of the left pleural effusion with left basilar 
opacity, likely compressive atelectasis versus infection.
2.  Little, if any, pulmonary edema.
I have personally reviewed the images for this examination and agreed
with the report transcribed above.
ACCESSION NUMBER:
#4585360880
This report has been anonymized. All dates are offset from the actual dates by a fixed interval associated with the patient.</x:v>
      </x:c>
      <x:c r="G81" s="28" t="str">
        <x:v>Worse</x:v>
      </x:c>
      <x:c r="H81" s="29" t="str"/>
      <x:c r="I81" s="29" t="str"/>
      <x:c r="J81" s="29" t="str"/>
      <x:c r="K81" s="30"/>
      <x:c r="L81" s="29" t="str"/>
      <x:c r="M81" s="31" t="str">
        <x:f>IF(H81="","待填写标签",IF(AND(H81="Unusable",I81=""),"需填写不可用原因",IF(J81="","需填写审核人",IF(K81="","需填写日期","完成"))))</x:f>
        <x:v>待填写标签</x:v>
      </x:c>
    </x:row>
    <x:row r="82" ht="72" customHeight="1">
      <x:c r="A82" s="25" t="n">
        <x:v>81</x:v>
      </x:c>
      <x:c r="B82" s="26" t="str">
        <x:v>review_0127</x:v>
      </x:c>
      <x:c r="C82" s="26" t="str">
        <x:v>chexpert_plus</x:v>
      </x:c>
      <x:c r="D82" s="27" t="str">
        <x:v>Cardiomegaly</x:v>
      </x:c>
      <x:c r="E82" s="27" t="str">
        <x:v>NARRATIVE:
SINGLE VIEW OF THE CHEST: 4/3/2009
 COMPARISON:  4-3-09
 CLINICAL HISTORY:  Forty-seven-year-old female status-post PICC line 
placement.
 IMPRESSION:
 1.  LEFT UPPER EXTREMITY PICC LINE TERMINATES 3.7 CM BELOW THE 
CARINA.
 2.  NO EVIDENCE OF FOCAL CONSOLIDATION, PLEURAL EFFUSION OR 
PNEUMOTHORAX.  OSSEOUS STRUCTURES ARE WITHIN NORMAL LIMITS.
 SUMMARY:4-POSSIBLE SIGNIFICANT FINDINGS, MAY NEED ACTION  
I have personally reviewed the images for this examination and agreed
with the report transcribed above.
ACCESSION NUMBER:
11394852
This report has been anonymized. All dates are offset from the actual dates by a fixed interval associated with the patient.</x:v>
      </x:c>
      <x:c r="F82" s="27" t="str">
        <x:v>NARRATIVE:
CHEST 1 VIEW:  12-19-2006
 COMPARISON:  Chest x-ray on 12-19-2006.
 HISTORY:  A 47-year-old female with infection.
 IMPRESSION:
 1.  INCREASED RETICULAR OPACITIES BILATERALLY PROBABLY FROM 
PULMONARY EDEMA.  NO PLEURAL EFFUSIONS.
 2.  STABLE CARDIOMEGALY.
 3.  STABLE POSITION OF LEFT PICC.  
 SUMMARY:4-POSSIBLE SIGNIFICANT FINDINGS, MAY NEED ACTION  
I have personally reviewed the images for this examination and agreed
with the report transcribed above.
ACCESSION NUMBER:
06300
This report has been anonymized. All dates are offset from the actual dates by a fixed interval associated with the patient.</x:v>
      </x:c>
      <x:c r="G82" s="28" t="str">
        <x:v>New</x:v>
      </x:c>
      <x:c r="H82" s="29" t="str"/>
      <x:c r="I82" s="29" t="str"/>
      <x:c r="J82" s="29" t="str"/>
      <x:c r="K82" s="30"/>
      <x:c r="L82" s="29" t="str"/>
      <x:c r="M82" s="31" t="str">
        <x:f>IF(H82="","待填写标签",IF(AND(H82="Unusable",I82=""),"需填写不可用原因",IF(J82="","需填写审核人",IF(K82="","需填写日期","完成"))))</x:f>
        <x:v>待填写标签</x:v>
      </x:c>
    </x:row>
    <x:row r="83" ht="72" customHeight="1">
      <x:c r="A83" s="25" t="n">
        <x:v>82</x:v>
      </x:c>
      <x:c r="B83" s="26" t="str">
        <x:v>review_0171</x:v>
      </x:c>
      <x:c r="C83" s="26" t="str">
        <x:v>mimic_cxr_jpg</x:v>
      </x:c>
      <x:c r="D83" s="27" t="str">
        <x:v>Atelectasis</x:v>
      </x:c>
      <x:c r="E83" s="27" t="str">
        <x:v>FINAL REPORT
 EXAMINATION:  CHEST (PORTABLE AP)
 INDICATION:  ___ year old man with acute-on-chronic renal insufficiency and
 need for fluid resuscitation in post-op period  // Please eval for pulmonary
 edema     Please eval for pulmonary edema
 IMPRESSION: 
 In comparison with the study of ___, the endotracheal tube and right IJ
 sheath have been removed. Again there are low lung volumes that accentuate the
 transverse diameter of the heart.  There may be mild elevation of pulmonary
 venous pressure.  The left hemidiaphragm is not as sharply seen, raising the
 possibility of mild atelectatic changes and possible small effusion. Blunting
 of the right costophrenic angle is also suggested.</x:v>
      </x:c>
      <x:c r="F83" s="27" t="str">
        <x:v>FINAL REPORT
 EXAMINATION:  CHEST (PORTABLE AP)
 INDICATION:  ___ year old man with increasing SOB and desats  // Please eval
 for change in pulmonary status/fluid overload
 TECHNIQUE:  Single frontal view of the chest
 COMPARISON:  ___
 IMPRESSION: 
 There are low lung volumes. Cardiac size is normal. Bibasilar atelectasis have
 improved. There is no pneumothorax . If any there is a small right effusion.</x:v>
      </x:c>
      <x:c r="G83" s="28" t="str">
        <x:v>Improved</x:v>
      </x:c>
      <x:c r="H83" s="29" t="str"/>
      <x:c r="I83" s="29" t="str"/>
      <x:c r="J83" s="29" t="str"/>
      <x:c r="K83" s="30"/>
      <x:c r="L83" s="29" t="str"/>
      <x:c r="M83" s="31" t="str">
        <x:f>IF(H83="","待填写标签",IF(AND(H83="Unusable",I83=""),"需填写不可用原因",IF(J83="","需填写审核人",IF(K83="","需填写日期","完成"))))</x:f>
        <x:v>待填写标签</x:v>
      </x:c>
    </x:row>
    <x:row r="84" ht="72" customHeight="1">
      <x:c r="A84" s="25" t="n">
        <x:v>83</x:v>
      </x:c>
      <x:c r="B84" s="26" t="str">
        <x:v>review_0172</x:v>
      </x:c>
      <x:c r="C84" s="26" t="str">
        <x:v>chexpert_plus</x:v>
      </x:c>
      <x:c r="D84" s="27" t="str">
        <x:v>Lung Opacity</x:v>
      </x:c>
      <x:c r="E84" s="27" t="str">
        <x:v>NARRATIVE:
PORTABLE CHEST, 1 VIEW: 01/20.
COMPARISON: 1/20.
IMPRESSION:
1. SUBOPTIMAL FILM WITH MOTION ARTIFACT. ENDOTRACHEAL TUBE
APPEARS TO HAVE BEEN REMOVED. THE LUNGS REMAIN OVERALL RELATIVELY
WELL-AERATED, WITHOUT CONVINCING FOCAL OPACITY. NO PNEUMOTHORAX.
END OF IMPRESSION:
SUMMARY 5: Incomplete/Unsatisfactory Study. See recommendation.
ACCESSION NUMBER:
50_95_72_v2
This report has been anonymized. All dates are offset from the actual dates by a fixed interval associated with the patient.</x:v>
      </x:c>
      <x:c r="F84" s="27" t="str">
        <x:v>NARRATIVE:
ONE VIEW CHEST: 7/25/2006
COMPARISON: 7-25-2006, 7/25/2006, 7-25-2006
IMPRESSION:
1. INTERVAL REMOVAL OF NG TUBE, FEEDING TUBE. NO CHANGE IN
TRACHEOSTOMY TUBE, LEFT SUBCLAVIAN CENTRAL VENOUS LINE.
2. DECREASED LUNG VOLUMES BILATERALLY AND SYMMETRICAL SINCE THE
PRIOR STUDY. INTERVAL DEVELOPMENT OF MINIMAL LEFT RETROCARDIAC
OPACITY MOST CONSISTENT WITH ATELECTASIS, HOWEVER, EARLY
CONSOLIDATION IS NOT EXCLUDED. RECOMMEND CLINICAL CORRELATION.
END OF IMPRESSION:
SUMMARY: Possible significant abnormality/change, may need change.
I have personally reviewed the images for this examination and agree
with the report transcribed above.
By: BLANCHARD, RUBY  on: 7/25/2006
ACCESSION NUMBER:
914
This report has been anonymized. All dates are offset from the actual dates by a fixed interval associated with the patient.</x:v>
      </x:c>
      <x:c r="G84" s="28" t="str">
        <x:v>New</x:v>
      </x:c>
      <x:c r="H84" s="29" t="str"/>
      <x:c r="I84" s="29" t="str"/>
      <x:c r="J84" s="29" t="str"/>
      <x:c r="K84" s="30"/>
      <x:c r="L84" s="29" t="str"/>
      <x:c r="M84" s="31" t="str">
        <x:f>IF(H84="","待填写标签",IF(AND(H84="Unusable",I84=""),"需填写不可用原因",IF(J84="","需填写审核人",IF(K84="","需填写日期","完成"))))</x:f>
        <x:v>待填写标签</x:v>
      </x:c>
    </x:row>
    <x:row r="85" ht="72" customHeight="1">
      <x:c r="A85" s="25" t="n">
        <x:v>84</x:v>
      </x:c>
      <x:c r="B85" s="26" t="str">
        <x:v>review_0116</x:v>
      </x:c>
      <x:c r="C85" s="26" t="str">
        <x:v>mimic_cxr_jpg</x:v>
      </x:c>
      <x:c r="D85" s="27" t="str">
        <x:v>Pleural Effusion</x:v>
      </x:c>
      <x:c r="E85" s="27" t="str">
        <x:v>WET READ: ___ ___ 7:50 PM
  Small bilateral pleural effusions with mild vascular congestion. Left
  retrocardiac atelectasis. Bilateral percutaneous nephrostomy tubes.
 WET READ VERSION #1 
 ______________________________________________________________________________
                                 FINAL REPORT
 EXAMINATION:  CHEST (PA AND LAT)
 INDICATION:  ___ year old woman with now on HD  // needs for HD
 COMPARISON:  ___
 IMPRESSION: 
 As compared to the previous radiograph, bilateral small pleural effusions have
 newly appeared. The extent of the effusions is better appreciated on the
 lateral than on the frontal film. Moderate cardiomegaly has established and a
 small retrocardiac atelectasis is also seen. There are no signs of pulmonary
 edema.  No pneumonia. No pneumothorax. In unchanged manner, bilateral renal
 drains are visualized</x:v>
      </x:c>
      <x:c r="F85" s="27" t="str">
        <x:v>FINAL REPORT
 EXAMINATION:  CHEST RADIOGRAPH ___
 INDICATION:  History: ___F with cough  // Cough
 TECHNIQUE:  Chest PA and lateral
 COMPARISON:  Comparison is made to chest radiographs from ___.
 FINDINGS: 
 The lungs are well-expanded and clear. Previously seen bilateral pleural
 effusions have resolved. The hilar and pleural surfaces are unremarkable. The
 heart size is top-normal in size. A partially visualized pigtail catheter
 projecting over the left renal shadow is again noted.
 IMPRESSION: 
 No acute cardiopulmonary process.</x:v>
      </x:c>
      <x:c r="G85" s="28" t="str">
        <x:v>Resolved</x:v>
      </x:c>
      <x:c r="H85" s="29" t="str"/>
      <x:c r="I85" s="29" t="str"/>
      <x:c r="J85" s="29" t="str"/>
      <x:c r="K85" s="30"/>
      <x:c r="L85" s="29" t="str"/>
      <x:c r="M85" s="31" t="str">
        <x:f>IF(H85="","待填写标签",IF(AND(H85="Unusable",I85=""),"需填写不可用原因",IF(J85="","需填写审核人",IF(K85="","需填写日期","完成"))))</x:f>
        <x:v>待填写标签</x:v>
      </x:c>
    </x:row>
    <x:row r="86" ht="72" customHeight="1">
      <x:c r="A86" s="25" t="n">
        <x:v>85</x:v>
      </x:c>
      <x:c r="B86" s="26" t="str">
        <x:v>review_0071</x:v>
      </x:c>
      <x:c r="C86" s="26" t="str">
        <x:v>mimic_cxr_jpg</x:v>
      </x:c>
      <x:c r="D86" s="27" t="str">
        <x:v>Pleural Effusion</x:v>
      </x:c>
      <x:c r="E86" s="27" t="str">
        <x:v>FINAL REPORT
 INDICATION:  ___-year-old male with pleural effusion and history of metastatic
 non-small cell lung cancer.
 COMPARISON:  Comparison is made with chest radiographs from ___,
 ___, ___, and ___.
 FINDINGS:  PA and lateral images of the chest demonstrate near-complete
 opacification of the right lung which is unchanged from most recent chest
 radiograph.  This is associated with right volume loss.  There is a small left
 pleural effusion again seen, unchanged.  Multiple left-sided pulmonary nodules
 are again seen.  The left lung is otherwise again seen to be clear. 
 Cardiomediastinal silhouette is obscured by the large right effusion.  Two
 vertebral bodies at the level of the left hemidiaphragm are seen to be of
 increased opacity, consistent with patient's history of metastatic disease.
 IMPRESSION:  Unchanged chest radiograph with persistent near-complete
 opacification of the right hemithorax.</x:v>
      </x:c>
      <x:c r="F86" s="27" t="str">
        <x:v>FINAL REPORT
 INDICATION:  ___-year-old male with pleural effusion, status post
 thoracentesis.
 COMPARISON:  Comparison is made with chest radiograph from earlier the same
 day ___ and ___.
 FINDINGS:  PA and lateral images of the chest again demonstrate near-complete
 opacification of the right lung which is unchanged from imaging earlier the
 same day.  There is no pneumothorax or other post-thoracentesis complication
 seen.  Again seen is right-sided volume loss.  Small left pleural effusion is
 again seen, unchanged.  The chest radiograph is otherwise unchanged from
 imaging earlier the same day.
 IMPRESSION:  Unchanged chest radiograph with persistent near-complete
 opacification of the right hemithorax.  No pneumothorax or other
 post-thoracentesis complication seen.</x:v>
      </x:c>
      <x:c r="G86" s="28" t="str">
        <x:v>Stable</x:v>
      </x:c>
      <x:c r="H86" s="29" t="str"/>
      <x:c r="I86" s="29" t="str"/>
      <x:c r="J86" s="29" t="str"/>
      <x:c r="K86" s="30"/>
      <x:c r="L86" s="29" t="str"/>
      <x:c r="M86" s="31" t="str">
        <x:f>IF(H86="","待填写标签",IF(AND(H86="Unusable",I86=""),"需填写不可用原因",IF(J86="","需填写审核人",IF(K86="","需填写日期","完成"))))</x:f>
        <x:v>待填写标签</x:v>
      </x:c>
    </x:row>
    <x:row r="87" ht="72" customHeight="1">
      <x:c r="A87" s="25" t="n">
        <x:v>86</x:v>
      </x:c>
      <x:c r="B87" s="26" t="str">
        <x:v>review_0122</x:v>
      </x:c>
      <x:c r="C87" s="26" t="str">
        <x:v>mimic_cxr_jpg</x:v>
      </x:c>
      <x:c r="D87" s="27" t="str">
        <x:v>Cardiomegaly</x:v>
      </x:c>
      <x:c r="E87" s="27" t="str">
        <x:v>FINAL REPORT
 EXAMINATION:  CHEST (PORTABLE AP)
 INDICATION:  ___ year old woman with desaturation  // ? consolidation
 IMPRESSION: 
 As compared to previous study of earlier the same date, moderate to large
 right and moderate left pleural effusion appear increased in volume, but
 positional differences may contribute to this apparent change.  Associated
 worsening bibasilar opacification particularly in the left retrocardiac
 region.  Support and monitoring devices are remarkable for new endotracheal
 tube with tip terminating 2.7 cm above the carina.</x:v>
      </x:c>
      <x:c r="F87" s="27" t="str">
        <x:v>FINAL REPORT
 EXAMINATION:  CHEST (PORTABLE AP)
 INDICATION:  ___ year old woman with ?aspiration  // interval change
 IMPRESSION: 
 As compared to ___ chest radiograph, tip of endotracheal tube remains
 low the seated, but may be accentuated by flexed position of the patient's
 neck.  Repeat radiograph with neck in neutral position may be helpful in this
 regard.  Stable cardiomegaly accompanied by pulmonary vascular congestion and
 mild edema.  Right pleural effusion has apparently decreased in size although
 positional differences may contribute to this apparent change.  Additionally,
 note is made of slight improvement in left retrocardiac opacification and
 adjacent small left pleural effusion.</x:v>
      </x:c>
      <x:c r="G87" s="28" t="str">
        <x:v>Worse</x:v>
      </x:c>
      <x:c r="H87" s="29" t="str"/>
      <x:c r="I87" s="29" t="str"/>
      <x:c r="J87" s="29" t="str"/>
      <x:c r="K87" s="30"/>
      <x:c r="L87" s="29" t="str"/>
      <x:c r="M87" s="31" t="str">
        <x:f>IF(H87="","待填写标签",IF(AND(H87="Unusable",I87=""),"需填写不可用原因",IF(J87="","需填写审核人",IF(K87="","需填写日期","完成"))))</x:f>
        <x:v>待填写标签</x:v>
      </x:c>
    </x:row>
    <x:row r="88" ht="72" customHeight="1">
      <x:c r="A88" s="25" t="n">
        <x:v>87</x:v>
      </x:c>
      <x:c r="B88" s="26" t="str">
        <x:v>review_0217</x:v>
      </x:c>
      <x:c r="C88" s="26" t="str">
        <x:v>mimic_cxr_jpg</x:v>
      </x:c>
      <x:c r="D88" s="27" t="str">
        <x:v>Pleural Effusion</x:v>
      </x:c>
      <x:c r="E88" s="27" t="str">
        <x:v>FINAL REPORT
 CLINICAL HISTORY:  Re-admission for pulmonary edema.
 CHEST, PA AND LATERAL 
 The heart is enlarged with tortuosity and calcification of the aorta. 
 Previous CABG is present.
 Bilateral pleural effusions are present, and some fluid is seen within the
 minor fissure.  Some mild upper zone re-distribution is present.
 Compared to the prior chest x-ray of ___, the degree of failure has
 improved.</x:v>
      </x:c>
      <x:c r="F88" s="27" t="str">
        <x:v>FINAL REPORT
 PA AND LATERAL CHEST, ___
 HISTORY:  An ___-year-old woman with altered mental status.  Assess for
 consolidation or edema.
 IMPRESSION:  PA and lateral chest compared to ___:
 Moderate cardiomegaly may have improved, though the difference could be due in
 part to the difference between AP and PA positioning.  Normal right pleural
 contours and calcifications are probably chronic, rather than any acute
 pleural effusion, compared to ___ unchanged.  Upper lungs are
 clear.  No pulmonary edema.  Patient has had median sternotomy and coronary
 bypass grafting.</x:v>
      </x:c>
      <x:c r="G88" s="28" t="str">
        <x:v>Resolved</x:v>
      </x:c>
      <x:c r="H88" s="29" t="str"/>
      <x:c r="I88" s="29" t="str"/>
      <x:c r="J88" s="29" t="str"/>
      <x:c r="K88" s="30"/>
      <x:c r="L88" s="29" t="str"/>
      <x:c r="M88" s="31" t="str">
        <x:f>IF(H88="","待填写标签",IF(AND(H88="Unusable",I88=""),"需填写不可用原因",IF(J88="","需填写审核人",IF(K88="","需填写日期","完成"))))</x:f>
        <x:v>待填写标签</x:v>
      </x:c>
    </x:row>
    <x:row r="89" ht="72" customHeight="1">
      <x:c r="A89" s="25" t="n">
        <x:v>88</x:v>
      </x:c>
      <x:c r="B89" s="26" t="str">
        <x:v>review_0240</x:v>
      </x:c>
      <x:c r="C89" s="26" t="str">
        <x:v>chexpert_plus</x:v>
      </x:c>
      <x:c r="D89" s="27" t="str">
        <x:v>Enlarged Cardiomediastinum</x:v>
      </x:c>
      <x:c r="E89" s="27" t="str">
        <x:v>NARRATIVE:
RADIOGRAPHIC EXAMINATION OF THE CHEST: 9/25/2013
CLINICAL HISTORY: 21 years of age, Female, S/p mucus plug and 
respiratory distress.
COMPARISON: 9/25/13
PROCEDURE COMMENTS: Single view of the chest. 
FINDINGS:
Semierect portable chest radiograph demonstrates stable positioning 
of medical support devices. Low lung volumes. Interval improvement in 
right basilar opacity, with worsening of left basilar opacity 
consistent with atelectasis versus aspiration. Interval resolution of 
pneumoperitoneum. Trace left pleural effusion.
IMPRESSION:
1.  Interval resolution of pneumoperitoneum.
2.  Interval improvement in right basilar opacity with worsening of 
left basilar opacity, consistent with atelectasis versus aspiration.
3.  Trace left pleural effusion.
I have personally reviewed the images for this examination and agreed
with the report transcribed above.
ACCESSION NUMBER:
5663-7
This report has been anonymized. All dates are offset from the actual dates by a fixed interval associated with the patient.</x:v>
      </x:c>
      <x:c r="F89" s="27" t="str">
        <x:v>NARRATIVE:
RADIOGRAPHIC EXAMINATION OF THE CHEST: 12-15-2015
CLINICAL HISTORY: 21 years of age, Female, Eval for signs of mucus 
plugging.
COMPARISON: 12-15-2015 at 10:17 AM
PROCEDURE COMMENTS: Single view of the chest. 
FINDINGS:
Semiupright portable chest radiograph demonstrates stable medical 
devices. Mild pulmonary edema and increased small left pleural 
effusion. Bibasilar stranding opacities consistent with atelectasis. 
Stable cardiomediastinal silhouette. No obvious bony abnormalities.
IMPRESSION:
1.  Increased small left pleural effusion and mild pulmonary edema.
2.  Bibasilar atelectasis.
I have personally reviewed the images for this examination and agreed
with the report transcribed above.
ACCESSION NUMBER:
G2368N2
This report has been anonymized. All dates are offset from the actual dates by a fixed interval associated with the patient.</x:v>
      </x:c>
      <x:c r="G89" s="28" t="str">
        <x:v>Resolved</x:v>
      </x:c>
      <x:c r="H89" s="29" t="str"/>
      <x:c r="I89" s="29" t="str"/>
      <x:c r="J89" s="29" t="str"/>
      <x:c r="K89" s="30"/>
      <x:c r="L89" s="29" t="str"/>
      <x:c r="M89" s="31" t="str">
        <x:f>IF(H89="","待填写标签",IF(AND(H89="Unusable",I89=""),"需填写不可用原因",IF(J89="","需填写审核人",IF(K89="","需填写日期","完成"))))</x:f>
        <x:v>待填写标签</x:v>
      </x:c>
    </x:row>
    <x:row r="90" ht="72" customHeight="1">
      <x:c r="A90" s="25" t="n">
        <x:v>89</x:v>
      </x:c>
      <x:c r="B90" s="26" t="str">
        <x:v>review_0048</x:v>
      </x:c>
      <x:c r="C90" s="26" t="str">
        <x:v>chexpert_plus</x:v>
      </x:c>
      <x:c r="D90" s="27" t="str">
        <x:v>Consolidation</x:v>
      </x:c>
      <x:c r="E90" s="27" t="str">
        <x:v>NARRATIVE:
SINGLE VIEW OF THE CHEST:  2010 JUNE
 CLINICAL HISTORY:  Sixty-three-year-old male with respiratory 
distress in the setting of metastatic head and neck cancer with 
lymphangitic spread.
 COMPARISON:  AP chest from 06-2010.
 IMPRESSION:
 1.  THE PULMONARY NODULES SEEN PREVIOUSLY HAVE DECREASED IN NUMBER.  
THERE IS PERSISTENT PERIHILAR OPACIFICATION WHICH COULD BE RELATED TO 
EDEMA, INFECTION OR METASTATIC DISEASE.  
 2.  THERE HAS BEEN INTERVAL REMOVAL OF A LEFT SUBCLAVIAN CENTRAL 
VENOUS CATHETER.  
 3.  THERE IS A STABLE APPEARANCE TO THE CARDIOMEDIASTINAL SILHOUETTE.
 SUMMARY:2-ABNORMAL, PREVIOUSLY REPORTED  
I have personally reviewed the images for this examination and agreed
with the report transcribed above.
ACCESSION NUMBER:
3990211558
This report has been anonymized. All dates are offset from the actual dates by a fixed interval associated with the patient.</x:v>
      </x:c>
      <x:c r="F90" s="27" t="str">
        <x:v>NARRATIVE:
SINGLE VIEW OF THE CHEST:  4-22-2008 
 CLINICAL HISTORY:  A 63-year-old male with shortness of breath.
 COMPARISON:  4/22/2008.
 IMPRESSION: 
 1.  PORTABLE AP UPRIGHT VIEW OF THE CHEST AGAIN SHOWS A DIFFUSE 
RETICULAR NODULAR PATTERN WITH INCREASED CONSOLIDATION IN THE RIGHT 
UPPER LUNG ZONE MEDIALLY.  THIS APPEARS SIMILAR TO THE PRIOR EXAM AND 
IS CONSISTENT WITH THE PATIENT'S KNOWN METASTATIC DISEASE. 
 2.  NO NEW PULMONARY DISEASE IS APPRECIATED.  
 SUMMARY: 2 ABNORMAL, PREVIOUSLY REPORTED.   
I have personally reviewed the images for this examination and agreed
with the report transcribed above.
ACCESSION NUMBER:
56637
This report has been anonymized. All dates are offset from the actual dates by a fixed interval associated with the patient.</x:v>
      </x:c>
      <x:c r="G90" s="28" t="str">
        <x:v>Stable</x:v>
      </x:c>
      <x:c r="H90" s="29" t="str"/>
      <x:c r="I90" s="29" t="str"/>
      <x:c r="J90" s="29" t="str"/>
      <x:c r="K90" s="30"/>
      <x:c r="L90" s="29" t="str"/>
      <x:c r="M90" s="31" t="str">
        <x:f>IF(H90="","待填写标签",IF(AND(H90="Unusable",I90=""),"需填写不可用原因",IF(J90="","需填写审核人",IF(K90="","需填写日期","完成"))))</x:f>
        <x:v>待填写标签</x:v>
      </x:c>
    </x:row>
    <x:row r="91" ht="72" customHeight="1">
      <x:c r="A91" s="25" t="n">
        <x:v>90</x:v>
      </x:c>
      <x:c r="B91" s="26" t="str">
        <x:v>review_0044</x:v>
      </x:c>
      <x:c r="C91" s="26" t="str">
        <x:v>mimic_cxr_jpg</x:v>
      </x:c>
      <x:c r="D91" s="27" t="str">
        <x:v>Lung Opacity</x:v>
      </x:c>
      <x:c r="E91" s="27" t="str">
        <x:v>WET READ: ___ ___ 5:34 PM
  PICC in appropriate position in the low SVC.  Stable right basilar atelectasis
  and possible small right effusion.  Stable cardiomegaly.  No significant
  change from prior.  No evidence of pulmonary edema.  
 WET READ VERSION #1 
 ______________________________________________________________________________
                                 FINAL REPORT
 HISTORY:  New PICC line.
 COMPARISON:  ___.
 FINDINGS:
 The PICC line tip is in similar location versus slightly higher than on the
 prior study.  The tip is in the distal SVC.  Again seen is right basilar
 volume loss and slightly low lung volumes and moderate cardiomegaly.
 IMPRESSION:
 PICC line tip in distal SVC.</x:v>
      </x:c>
      <x:c r="F91" s="27" t="str">
        <x:v>FINAL REPORT
 HISTORY:  ___-year-old male with recent pneumonia and worsening respiratory
 distress.
 COMPARISON:  ___.
 FINDINGS:
 Single supine portable view of the chest.  Right PICC is no longer seen. 
 There is progression of the right basilar opacity which silhouettes the
 hemidiaphragm.   The left lung is grossly clear as is the right upper lung. 
 Cardiac silhouette is enlarged.  Atherosclerotic calcification of the aorta. 
 Again seen.  Impression:  Right basilar opacities silhouetting the
 hemidiaphragm compatible with component of pleural effusion.  Underlying
 atelectasis and possible infection is also possible.  
 IMPRESSION:
 Right basilar opacity silhouetting the hemidiaphragm suggestive of effusion
 with underlying atelectasis and possible consolidation.</x:v>
      </x:c>
      <x:c r="G91" s="28" t="str">
        <x:v>Worse</x:v>
      </x:c>
      <x:c r="H91" s="29" t="str"/>
      <x:c r="I91" s="29" t="str"/>
      <x:c r="J91" s="29" t="str"/>
      <x:c r="K91" s="30"/>
      <x:c r="L91" s="29" t="str"/>
      <x:c r="M91" s="31" t="str">
        <x:f>IF(H91="","待填写标签",IF(AND(H91="Unusable",I91=""),"需填写不可用原因",IF(J91="","需填写审核人",IF(K91="","需填写日期","完成"))))</x:f>
        <x:v>待填写标签</x:v>
      </x:c>
    </x:row>
    <x:row r="92" ht="72" customHeight="1">
      <x:c r="A92" s="25" t="n">
        <x:v>91</x:v>
      </x:c>
      <x:c r="B92" s="26" t="str">
        <x:v>review_0157</x:v>
      </x:c>
      <x:c r="C92" s="26" t="str">
        <x:v>mimic_cxr_jpg</x:v>
      </x:c>
      <x:c r="D92" s="27" t="str">
        <x:v>Edema</x:v>
      </x:c>
      <x:c r="E92" s="27" t="str">
        <x:v>FINAL REPORT
 TYPE OF EXAMINATION:  Chest, AP portable single view.
 INDICATION:  ___-year-old male patient intubated for respiratory failure,
 evaluate for interval change.
 FINDINGS:  AP single view of the chest has been obtained with patient in
 semi-upright position.  Analysis is performed in direct comparison with the
 next preceding similar study of ___.  The patient remains
 intubated, the ETT in relatively high position, terminating some 6 cm above
 the level of the carina.  This position is absolutely unchanged in comparison
 with the previous study.  Also, the NG tube remains and reaches well below the
 diaphragm.  Heart size is probably slightly enlarged, but no evidence of
 pleural effusion or advanced congestive pulmonary vascular pattern.  Similar
 as on the previous portable chest examination, there are some scattered patchy
 parenchymal densities, mostly on the right lower base but also in the right
 upper lobe area, suggestive of some inflammatory processes.  There is no
 progression in comparison with yesterday's study, rather slightly regression
 is noted.  No pneumothorax is seen.</x:v>
      </x:c>
      <x:c r="F92" s="27" t="str">
        <x:v>FINAL REPORT
 AP CHEST, 7:15 A.M. ON ___
 HISTORY:  ___-year-old man intubated after heart failure.
 IMPRESSION:  AP chest compared to ___:
 Borderline cardiomegaly and pulmonary vascular congestion persist.  There is
 new mild edema in the right lower lung and probably a small right pleural
 effusion, but no pneumothorax.  ET tube is in standard placement, and a
 nasogastric tube ends in the stomach.</x:v>
      </x:c>
      <x:c r="G92" s="28" t="str">
        <x:v>New</x:v>
      </x:c>
      <x:c r="H92" s="29" t="str"/>
      <x:c r="I92" s="29" t="str"/>
      <x:c r="J92" s="29" t="str"/>
      <x:c r="K92" s="30"/>
      <x:c r="L92" s="29" t="str"/>
      <x:c r="M92" s="31" t="str">
        <x:f>IF(H92="","待填写标签",IF(AND(H92="Unusable",I92=""),"需填写不可用原因",IF(J92="","需填写审核人",IF(K92="","需填写日期","完成"))))</x:f>
        <x:v>待填写标签</x:v>
      </x:c>
    </x:row>
    <x:row r="93" ht="72" customHeight="1">
      <x:c r="A93" s="25" t="n">
        <x:v>92</x:v>
      </x:c>
      <x:c r="B93" s="26" t="str">
        <x:v>review_0149</x:v>
      </x:c>
      <x:c r="C93" s="26" t="str">
        <x:v>mimic_cxr_jpg</x:v>
      </x:c>
      <x:c r="D93" s="27" t="str">
        <x:v>Lung Opacity</x:v>
      </x:c>
      <x:c r="E93" s="27" t="str">
        <x:v>FINAL REPORT
 EXAMINATION:  CHEST (PA AND LAT)
 INDICATION:  ___-year-old man with fall and syncope.
 COMPARISON:  Chest radiograph from ___.
 FINDINGS: 
 The lungs are clear.  The hilar and cardiomediastinal contours are normal.
 There is no pneumothorax. There is no pleural effusion. Pulmonary vascularity
 is normal.
 IMPRESSION: 
 Normal chest.</x:v>
      </x:c>
      <x:c r="F93" s="27" t="str">
        <x:v>WET READ: ___ ___ ___ 6:04 AM
  New since prior study dated ___, subtle opacity within the right
  lower lung for which early pneumonia cannot be excluded.
 ______________________________________________________________________________
                                 FINAL REPORT
 INDICATION:  ___-year-old male with cough hemoptysis and fever.
 TECHNIQUE:  Chest PA and lateral
 COMPARISON:  Chest radiograph dated ___.
 FINDINGS: 
 PA and lateral chest radiograph demonstrate subtle hazy opacity projecting
 over the right lower lung zones on the frontal view and within the
 retrocardiac space on the lateral view corresponding to the right lower lobe.
 Findings may reflect early pneumonia. Heart size is within normal limits.
 Mediastinal and hilar contours are unremarkable. There is no pleural effusion
 or pneumothorax. Visualized osseous structures are without an acute
 abnormality.
 IMPRESSION: 
 New since prior study dated ___, subtle opacity within the right
 lower lung for which early pneumonia cannot be excluded.</x:v>
      </x:c>
      <x:c r="G93" s="28" t="str">
        <x:v>New</x:v>
      </x:c>
      <x:c r="H93" s="29" t="str"/>
      <x:c r="I93" s="29" t="str"/>
      <x:c r="J93" s="29" t="str"/>
      <x:c r="K93" s="30"/>
      <x:c r="L93" s="29" t="str"/>
      <x:c r="M93" s="31" t="str">
        <x:f>IF(H93="","待填写标签",IF(AND(H93="Unusable",I93=""),"需填写不可用原因",IF(J93="","需填写审核人",IF(K93="","需填写日期","完成"))))</x:f>
        <x:v>待填写标签</x:v>
      </x:c>
    </x:row>
    <x:row r="94" ht="72" customHeight="1">
      <x:c r="A94" s="25" t="n">
        <x:v>93</x:v>
      </x:c>
      <x:c r="B94" s="26" t="str">
        <x:v>review_0208</x:v>
      </x:c>
      <x:c r="C94" s="26" t="str">
        <x:v>mimic_cxr_jpg</x:v>
      </x:c>
      <x:c r="D94" s="27" t="str">
        <x:v>Consolidation</x:v>
      </x:c>
      <x:c r="E94" s="27" t="str">
        <x:v>FINAL REPORT
 EXAMINATION:  CHEST (PA AND LAT)
 INDICATION:  ___ year old man with MDS, productive cough, weakness, chills  //
 r/o pneumonia/infectious process
 COMPARISON:  Chest radiograph dated ___
 FINDINGS: 
 PA and lateral views of the chest provided.
 Compared to ___, there is marked resolution of bibasilar
 opacities, with persistent opacity in the lingula.  No new focal
 consolidations are seen.  No pleural effusion or pneumothorax is seen.  The
 cardiomediastinal silhouette is normal. Imaged osseous structures are intact. 
 No free air below the right hemidiaphragm is seen.
 IMPRESSION: 
 Marked resolution of previously seen bibasilar opacities.  Persistent opacity
 in the lingula.
 NOTIFICATION:  The findings were discussed by Dr. ___ with Dr. ___
 ___ on the telephoneon ___ at 11:36 AM, 3 minutes after discovery of
 the findings.</x:v>
      </x:c>
      <x:c r="F94" s="27" t="str">
        <x:v>FINAL REPORT
 EXAMINATION:  CHEST (PA AND LAT)
 INDICATION:  ___ year old man with pneumonia  // progression of infiltrates?   
 progression of infiltrates?
 IMPRESSION: 
 Compared to chest radiographs since ___, most recently ___.
 Previous foci of consolidation have resolved.  Diffuse irregular interstitial
 abnormality is more pronounced today than on ___, accompanied by new
 small right pleural effusion.  This could be pulmonary edema in the setting of
 recent atypical pneumonia, or edema due to recent blood product infusion. 
 Heart size is normal.
 Right subclavian infusion line ends in the upper SVC.</x:v>
      </x:c>
      <x:c r="G94" s="28" t="str">
        <x:v>Resolved</x:v>
      </x:c>
      <x:c r="H94" s="29" t="str"/>
      <x:c r="I94" s="29" t="str"/>
      <x:c r="J94" s="29" t="str"/>
      <x:c r="K94" s="30"/>
      <x:c r="L94" s="29" t="str"/>
      <x:c r="M94" s="31" t="str">
        <x:f>IF(H94="","待填写标签",IF(AND(H94="Unusable",I94=""),"需填写不可用原因",IF(J94="","需填写审核人",IF(K94="","需填写日期","完成"))))</x:f>
        <x:v>待填写标签</x:v>
      </x:c>
    </x:row>
    <x:row r="95" ht="72" customHeight="1">
      <x:c r="A95" s="25" t="n">
        <x:v>94</x:v>
      </x:c>
      <x:c r="B95" s="26" t="str">
        <x:v>review_0027</x:v>
      </x:c>
      <x:c r="C95" s="26" t="str">
        <x:v>mimic_cxr_jpg</x:v>
      </x:c>
      <x:c r="D95" s="27" t="str">
        <x:v>Atelectasis</x:v>
      </x:c>
      <x:c r="E95" s="27" t="str">
        <x:v>FINAL REPORT
 CHEST RADIOGRAPH
 HISTORY:  Possible aspiration.
 COMPARISONS:  Earlier in the same day.
 TECHNIQUE:  Chest, portable AP upright.
 FINDINGS:  A three-lead pacemaker/ICD device appears unchanged.  The cardiac,
 mediastinal,  and hilar contours are stable.  There is again a
 moderate-to-large left-sided pleural effusion with presumed parenchymal
 opacification, probably attributable to atelectasis.  There is also a
 suspected small right-sided pleural effusion.  There is no pneumothorax. 
 Compared to earlier radiographs of the same day, hazy opacification and
 vascular prominence seem similar to mildly decreased.  
 IMPRESSION:  Findings suggesting moderate vascular congestion, but similar to
 improved.  Moderate left-sided pleural effusion with balanced mass effect. 
 This appearance could be seen with pleural effusion and coinciding
 atelectasis, although it is difficult to exclude aspiration as a potential
 cause for left basilar opacification.</x:v>
      </x:c>
      <x:c r="F95" s="27" t="str">
        <x:v>FINAL REPORT
 PORTABLE CHEST, ___ 
 COMPARISON:  ___ radiograph.
 FINDINGS:  Cardiac silhouette remains enlarged, but accompanying pulmonary
 vascular congestion has slightly improved, along with decrease in extent of
 interstitial edema.  A more confluent area of consolidation in the right upper
 lobe has worsened.  This could reflect an area of developing pneumonia
 possibly due to an aspiration event given previously provided history of
 aspiration.  Moderate left pleural effusion and adjacent atelectasis are
 slightly improved, but a small right pleural effusion is unchanged.</x:v>
      </x:c>
      <x:c r="G95" s="28" t="str">
        <x:v>Improved</x:v>
      </x:c>
      <x:c r="H95" s="29" t="str"/>
      <x:c r="I95" s="29" t="str"/>
      <x:c r="J95" s="29" t="str"/>
      <x:c r="K95" s="30"/>
      <x:c r="L95" s="29" t="str"/>
      <x:c r="M95" s="31" t="str">
        <x:f>IF(H95="","待填写标签",IF(AND(H95="Unusable",I95=""),"需填写不可用原因",IF(J95="","需填写审核人",IF(K95="","需填写日期","完成"))))</x:f>
        <x:v>待填写标签</x:v>
      </x:c>
    </x:row>
    <x:row r="96" ht="72" customHeight="1">
      <x:c r="A96" s="25" t="n">
        <x:v>95</x:v>
      </x:c>
      <x:c r="B96" s="26" t="str">
        <x:v>review_0207</x:v>
      </x:c>
      <x:c r="C96" s="26" t="str">
        <x:v>mimic_cxr_jpg</x:v>
      </x:c>
      <x:c r="D96" s="27" t="str">
        <x:v>Lung Opacity</x:v>
      </x:c>
      <x:c r="E96" s="27" t="str">
        <x:v>FINAL REPORT
 INDICATION:  ___-year-old man with fever, chills, nausea vomiting.  Evaluate
 for pneumonia.
 TECHNIQUE:  Chest PA and lateral
 COMPARISON:  Chest radiograph from ___.
 FINDINGS: 
 Lung volumes are low with linear streaky opacities reflecting atelectasis in
 the lung bases.  There is associated crowding of the central bronchovascular
 structures.  There is a opacity in the right lower lobe with air bronchograms
 concerning for pneumonia.  No pleural effusion is seen.
 IMPRESSION: 
 Right lower lobe pneumonia.</x:v>
      </x:c>
      <x:c r="F96" s="27" t="str">
        <x:v>FINAL REPORT
 EXAMINATION:  Chest radiograph
 INDICATION:  ___ year old man with RLL Pneumonia on CXR done in ___. 
 // Please assess for resolution of Pneumonia.
 TECHNIQUE:  Chest PA and lateral
 COMPARISON:  Chest radiographs from ___ through ___
 FINDINGS: 
 The cardiomediastinal and hilar contours are normal and stable.  There is
 streaky atelectasis at the base of the left lung.  There is no focal
 consolidation, pleural effusion or pneumothorax.  A right lower lobe opacity
 has resolved.  There is no effusion or
 IMPRESSION: 
 Streaky left basal atelectasis.  Right lower lobe opacity has resolved.</x:v>
      </x:c>
      <x:c r="G96" s="28" t="str">
        <x:v>Resolved</x:v>
      </x:c>
      <x:c r="H96" s="29" t="str"/>
      <x:c r="I96" s="29" t="str"/>
      <x:c r="J96" s="29" t="str"/>
      <x:c r="K96" s="30"/>
      <x:c r="L96" s="29" t="str"/>
      <x:c r="M96" s="31" t="str">
        <x:f>IF(H96="","待填写标签",IF(AND(H96="Unusable",I96=""),"需填写不可用原因",IF(J96="","需填写审核人",IF(K96="","需填写日期","完成"))))</x:f>
        <x:v>待填写标签</x:v>
      </x:c>
    </x:row>
    <x:row r="97" ht="72" customHeight="1">
      <x:c r="A97" s="25" t="n">
        <x:v>96</x:v>
      </x:c>
      <x:c r="B97" s="26" t="str">
        <x:v>review_0222</x:v>
      </x:c>
      <x:c r="C97" s="26" t="str">
        <x:v>mimic_cxr_jpg</x:v>
      </x:c>
      <x:c r="D97" s="27" t="str">
        <x:v>Pleural Other</x:v>
      </x:c>
      <x:c r="E97" s="27" t="str">
        <x:v>FINAL REPORT
 EXAMINATION:
 Chest:  Frontal and lateral views
 INDICATION:  History: ___F with chest pain  // eval for acute process
 TECHNIQUE:  Chest:  Frontal and Lateral
 COMPARISON:  ___
 FINDINGS: 
 Small right pleural effusion persists, stable to possibly minimally larger
 compared to the prior study.  The left lung is clear.  There is no focal
 consolidation or pneumothorax.  Cardiac and mediastinal silhouettes are
 stable.
 IMPRESSION: 
 Persistent small right pleural effusion.</x:v>
      </x:c>
      <x:c r="F97" s="27" t="str">
        <x:v>FINAL REPORT
 INDICATION:  ___F with productive cough, nausea, vomiting.  // any evidence of
 consolidation?
 TECHNIQUE:  Chest PA and lateral
 COMPARISON:  Chest x-ray and abdominal CT from ___
 FINDINGS: 
 Heart is normal size and cardiomediastinal silhouette is stable.  Lungs are
 clear.  Blunting of the right costophrenic angle as a result of chronic
 pleural thickening is unchanged.  There is no pleural effusion or
 pneumothorax.
 IMPRESSION: 
 No evidence of pneumonia.</x:v>
      </x:c>
      <x:c r="G97" s="28" t="str">
        <x:v>Resolved</x:v>
      </x:c>
      <x:c r="H97" s="29" t="str"/>
      <x:c r="I97" s="29" t="str"/>
      <x:c r="J97" s="29" t="str"/>
      <x:c r="K97" s="30"/>
      <x:c r="L97" s="29" t="str"/>
      <x:c r="M97" s="31" t="str">
        <x:f>IF(H97="","待填写标签",IF(AND(H97="Unusable",I97=""),"需填写不可用原因",IF(J97="","需填写审核人",IF(K97="","需填写日期","完成"))))</x:f>
        <x:v>待填写标签</x:v>
      </x:c>
    </x:row>
    <x:row r="98" ht="72" customHeight="1">
      <x:c r="A98" s="25" t="n">
        <x:v>97</x:v>
      </x:c>
      <x:c r="B98" s="26" t="str">
        <x:v>review_0125</x:v>
      </x:c>
      <x:c r="C98" s="26" t="str">
        <x:v>mimic_cxr_jpg</x:v>
      </x:c>
      <x:c r="D98" s="27" t="str">
        <x:v>Lung Opacity</x:v>
      </x:c>
      <x:c r="E98" s="27" t="str">
        <x:v>FINAL REPORT
 HISTORY:  Hypoxia with productive cough.
 FINDINGS:  In comparison with the study of ___, there is increasing
 opacification in the right upper zone, with slight elevation of the minor
 fissure.  This is consistent with developing pneumonia with a small element of
 volume loss.  Streaks of apparent atelectasis were seen at the left mid zone. 
 The left base is more opaque than the right, which raises the possibility of a
 possible consolidative process beginning in this region as well.
 The pulmonary vessels are somewhat indistinct, which suggests the possibility
 of some component of elevated pulmonary venous pressure as well.
 Central catheter is unchanged.</x:v>
      </x:c>
      <x:c r="F98" s="27" t="str">
        <x:v>FINAL REPORT
 PORTABLE AP CHEST X-RAY.
 INDICATION:  Patient with asthma, ground-glass opacities on CT.  Progression
 of the disease?
 COMPARISON:  X-rays from ___ to ___, chest CT of ___.
 FINDINGS:
 Bilateral lung opacities, right more than left, have slightly improved mainly
 in the right upper lobe.  There are still some atelectatic bands in the left
 mid lung.  There is no pneumothorax or pleural effusion.  Mediastinal and
 cardiac contours are top normal and unchanged.  Right-sided PICC line ends at
 cavoatrial junction.
 CONCLUSION:
 Slight improvement of widespread bilateral lung opacities which were mainly
 ground-glass opacities and atelectatic bands on recent CT.</x:v>
      </x:c>
      <x:c r="G98" s="28" t="str">
        <x:v>Improved</x:v>
      </x:c>
      <x:c r="H98" s="29" t="str"/>
      <x:c r="I98" s="29" t="str"/>
      <x:c r="J98" s="29" t="str"/>
      <x:c r="K98" s="30"/>
      <x:c r="L98" s="29" t="str"/>
      <x:c r="M98" s="31" t="str">
        <x:f>IF(H98="","待填写标签",IF(AND(H98="Unusable",I98=""),"需填写不可用原因",IF(J98="","需填写审核人",IF(K98="","需填写日期","完成"))))</x:f>
        <x:v>待填写标签</x:v>
      </x:c>
    </x:row>
    <x:row r="99" ht="72" customHeight="1">
      <x:c r="A99" s="25" t="n">
        <x:v>98</x:v>
      </x:c>
      <x:c r="B99" s="26" t="str">
        <x:v>review_0119</x:v>
      </x:c>
      <x:c r="C99" s="26" t="str">
        <x:v>mimic_cxr_jpg</x:v>
      </x:c>
      <x:c r="D99" s="27" t="str">
        <x:v>Lung Opacity</x:v>
      </x:c>
      <x:c r="E99" s="27" t="str">
        <x:v>FINAL REPORT
 EXAMINATION:  CHEST (PORTABLE AP)
 INDICATION:  ___ year old man with hemoptysis intubated and sedated  // compare
 to prior      compare to prior
 COMPARISON:  Comparison to ___ at 16 24
 FINDINGS: 
 Portable semi-erect chest film ___ at 04:26 is submitted.
 IMPRESSION: 
 Endotracheal tube and nasogastric tube are likely unchanged in position. 
 There is improving aeration in the left hemithorax but persistent
 consolidation in the left upper and lower lobes consistent with lobar
 atelectasis, infection, or pulmonary hemorrhage.  Clinical correlation is
 advised.  There is likely a layering effusion.  The right lung also has
 improved aeration suggesting that there likely was a component of superimposed
 edema.  No obvious pneumothorax.  Cardiac and mediastinal contours are
 difficult to assess due to the left hemithorax airspace process.</x:v>
      </x:c>
      <x:c r="F99" s="27" t="str">
        <x:v>FINAL REPORT
 EXAMINATION:  CHEST (PORTABLE AP)
 INDICATION:  ___ year old man with SCLC  // eval for interval change      eval
 for interval change
 COMPARISON:  Comparison to ___ at 04:26
 FINDINGS: 
 Portable chest film ___ 04:48 is submitted.
 IMPRESSION: 
 Nasogastric tube is seen coursing below the diaphragm.  Endotracheal tube
 continues to have its tip at the thoracic inlet.  There is increasing opacity
 at the left upper lobe with shift to the left favoring left upper lobe
 collapse, although superimposed infection or a central mass cannot be
 excluded.  Patchy bibasilar opacities are also seen possibly representing
 atelectasis, although pneumonia cannot be excluded.  There is crowding of the
 pulmonary vasculature with no overt pulmonary edema.  Heart is are stable in
 size given differences in patient positioning.</x:v>
      </x:c>
      <x:c r="G99" s="28" t="str">
        <x:v>Worse</x:v>
      </x:c>
      <x:c r="H99" s="29" t="str"/>
      <x:c r="I99" s="29" t="str"/>
      <x:c r="J99" s="29" t="str"/>
      <x:c r="K99" s="30"/>
      <x:c r="L99" s="29" t="str"/>
      <x:c r="M99" s="31" t="str">
        <x:f>IF(H99="","待填写标签",IF(AND(H99="Unusable",I99=""),"需填写不可用原因",IF(J99="","需填写审核人",IF(K99="","需填写日期","完成"))))</x:f>
        <x:v>待填写标签</x:v>
      </x:c>
    </x:row>
    <x:row r="100" ht="72" customHeight="1">
      <x:c r="A100" s="25" t="n">
        <x:v>99</x:v>
      </x:c>
      <x:c r="B100" s="26" t="str">
        <x:v>review_0165</x:v>
      </x:c>
      <x:c r="C100" s="26" t="str">
        <x:v>chexpert_plus</x:v>
      </x:c>
      <x:c r="D100" s="27" t="str">
        <x:v>Lung Opacity</x:v>
      </x:c>
      <x:c r="E100" s="27" t="str">
        <x:v>NARRATIVE:
RADIOGRAPHIC EXAMINATION OF THE CHEST: 2/14/15
CLINICAL HISTORY: 31 years of age, Male, Post-op CV surgery.
COMPARISON: 2/14/15
PROCEDURE COMMENTS: Single view of the chest. Follow-up radiograph of 
the chest.
FINDINGS:
Chest radiograph on 2/14/2015: Interval placement of an 
endotracheal tube terminating 3.1 cm above the carina. Nasogastric 
tube terminates below the diaphragm beyond the field-of-view. 
Swan-Ganz catheter on the right terminates in the right main 
pulmonary artery. Epidural stimulator lead projects over the right 
thorax. Right IJ line terminates in the upper right atrium. There are 
2 left-sided chest tubes, one at the base and the other at the apex. 
Low lung volumes. Small left pleural effusion. Patchy opacity in the 
left upper lung zone likely related to postsurgical changes. 
Thoracotomy changes in the left posterior fourth rib. Prominent 
aortic contour.
Chest radiograph on 2-14-2015 at 0459 hours: Interval removal of 
the endotracheal tube and nasogastric tubes. Chest tubes, Swan-Ganz 
catheter, right IJ line, and epidural lead are unchanged. Lung 
volumes are decreased. Increased left-sided pleural effusion. Patchy 
opacification of the left lung may be due to edema or atelectasis. 
Prominent aortic contour.
IMPRESSION:
1.  There are 2 left-sided chest tubes, a right-sided Swan-Ganz 
catheter, a right-sided central venous catheter, and an epidural 
catheter.
2.  Very low lung volumes. Thoracotomy changes and postsurgical 
changes of the left chest. Patchy opacification of the left lung may 
be related to edema or atelectasis.
I have personally reviewed the images for this examination and agreed
with the report transcribed above.
ACCESSION NUMBER:
5851643010
This report has been anonymized. All dates are offset from the actual dates by a fixed interval associated with the patient.</x:v>
      </x:c>
      <x:c r="F100" s="27" t="str">
        <x:v>NARRATIVE:
RADIOGRAPHIC EXAMINATION OF THE CHEST: 8 September 2015
CLINICAL HISTORY: 31 years of age, Male, Post-op CV surgery.
COMPARISON: 9/8/2015, 9/8/15; 9-8-2015
PROCEDURE COMMENTS: Single view of the chest. 
FINDINGS:
9/8/15, 8/9/2015:
Interval removal of Swan Ganz catheter and vascular sheathe.  Stable 
R IJ positioning.  Chest drainage tubes appear stable.  Unchanged 
left lung opacities and left pleural effusions.
9/8/2015, 0148:
Interval improved inspiration.  Left lung opacities and pleural 
effusion are present.  The appearance of two fine lines overlying the 
central upper thorax.
IMPRESSION:
Left lung opacification is improving secondary to better aeration; 
however atelectasis and left pleural effusion persist.
I have personally reviewed the images for this examination and agreed
with the report transcribed above.
ACCESSION NUMBER:
#KN7-x3K-MTt-hSZ
This report has been anonymized. All dates are offset from the actual dates by a fixed interval associated with the patient.</x:v>
      </x:c>
      <x:c r="G100" s="28" t="str">
        <x:v>Improved</x:v>
      </x:c>
      <x:c r="H100" s="29" t="str"/>
      <x:c r="I100" s="29" t="str"/>
      <x:c r="J100" s="29" t="str"/>
      <x:c r="K100" s="30"/>
      <x:c r="L100" s="29" t="str"/>
      <x:c r="M100" s="31" t="str">
        <x:f>IF(H100="","待填写标签",IF(AND(H100="Unusable",I100=""),"需填写不可用原因",IF(J100="","需填写审核人",IF(K100="","需填写日期","完成"))))</x:f>
        <x:v>待填写标签</x:v>
      </x:c>
    </x:row>
    <x:row r="101" ht="72" customHeight="1">
      <x:c r="A101" s="25" t="n">
        <x:v>100</x:v>
      </x:c>
      <x:c r="B101" s="26" t="str">
        <x:v>review_0026</x:v>
      </x:c>
      <x:c r="C101" s="26" t="str">
        <x:v>mimic_cxr_jpg</x:v>
      </x:c>
      <x:c r="D101" s="27" t="str">
        <x:v>Edema</x:v>
      </x:c>
      <x:c r="E101" s="27" t="str">
        <x:v>FINAL REPORT
 INDICATION:  Pulmonary edema, here to evaluate for interval changes.
 COMPARISON:  ___.
 TECHNIQUE:  Portable semi-erect frontal radiograph of the chest.
 FINDINGS:  An endotracheal tube and enteric tube are unchanged in position. 
 The lung volumes are slightly decreased from ___.  Mild pulmonary
 interstitial edema/vascular congestion is improved from ___.  No large
 pleural effusion or pneumothorax is appreciated.  The cardiomediastinal
 contours are within normal limits and unchanged.
 IMPRESSION:  Improved pulmonary edema/vascular congestion from ___.</x:v>
      </x:c>
      <x:c r="F101" s="27" t="str">
        <x:v>WET READ: ___ ___ ___ 12:09 AM
  Low lung volumes. Pulmonary  interstitial edema/vascular congestion has
  worsened since prior examination from earlier today. 
 WET READ VERSION #1 
 ______________________________________________________________________________
                                 FINAL REPORT
 PORTABLE CHEST FILM ___ AT ___ 
 CLINICAL INDICATION:  ___-year-old with acute respiratory distress, question
 pulmonary edema.
 Comparison is made to the patient's prior study of ___ at 4 a.m.
 A portable AP upright chest film ___ at ___ is submitted.
 IMPRESSION:
 1.  There is interval worsening of mild-to-moderate pulmonary edema.  Minimal
 blunting of both costophrenic angles likely reflects tiny effusions.  No
 pneumothorax.  Overall cardiac and mediastinal contours are unchanged.</x:v>
      </x:c>
      <x:c r="G101" s="28" t="str">
        <x:v>Worse</x:v>
      </x:c>
      <x:c r="H101" s="29" t="str"/>
      <x:c r="I101" s="29" t="str"/>
      <x:c r="J101" s="29" t="str"/>
      <x:c r="K101" s="30"/>
      <x:c r="L101" s="29" t="str"/>
      <x:c r="M101" s="31" t="str">
        <x:f>IF(H101="","待填写标签",IF(AND(H101="Unusable",I101=""),"需填写不可用原因",IF(J101="","需填写审核人",IF(K101="","需填写日期","完成"))))</x:f>
        <x:v>待填写标签</x:v>
      </x:c>
    </x:row>
    <x:row r="102" ht="72" customHeight="1">
      <x:c r="A102" s="25" t="n">
        <x:v>101</x:v>
      </x:c>
      <x:c r="B102" s="26" t="str">
        <x:v>review_0190</x:v>
      </x:c>
      <x:c r="C102" s="26" t="str">
        <x:v>chexpert_plus</x:v>
      </x:c>
      <x:c r="D102" s="27" t="str">
        <x:v>Consolidation</x:v>
      </x:c>
      <x:c r="E102" s="27" t="str">
        <x:v>NARRATIVE:
PORTABLE SUPINE VIEW OF CHEST: 4-14-21 at 0337 hours.
COMPARISON: Chest 2021/04/14
IMPRESSION:
1. TUBES AND LINES ARE STABLE IN POSITION.
2. INCREASED OPACIFICATION WITHIN THE LEFT LUNG BASE WHICH MAY
REPRESENT ATELECTASIS OR CONSOLIDATED PROCESS.
3. STABLE SMALL LEFT LAYERING PLEURAL EFFUSION.
END OF IMPRESSION:
SUMMARY: 4 POSSIBLE SIGNIFICANT FINDINGS, MAY NEED ACTION.
I have personally reviewed the images for this examination and agree
with the report transcribed above.
By: Valencia, Dr.  on: 4/14/2021
ACCESSION NUMBER:
5851643010
This report has been anonymized. All dates are offset from the actual dates by a fixed interval associated with the patient.</x:v>
      </x:c>
      <x:c r="F102" s="27" t="str">
        <x:v>NARRATIVE:
AP CHEST: 1/21/2017 0406 hours
COMPARISON: Previous film, 1-21-2017 0337 hours and 1/21/17.
FINDINGS:
The patient's nasogastric tube is present. A right internal jugular
line has its tip in the superior vena cava. There is a fair amount
of motion obscuring fine detail in the right lung however there is
significant progression of the left basilar air space
consolidation.
IMPRESSION:
1. WORSENING LEFT BASILAR AIR SPACE CONSOLIDATION.
END OF IMPRESSION:
SUMMARY 4: POSSIBLE SIGNIFICANT FINDINGS, MAY NEED ACTION
ACCESSION NUMBER:
551262188961
This report has been anonymized. All dates are offset from the actual dates by a fixed interval associated with the patient.</x:v>
      </x:c>
      <x:c r="G102" s="28" t="str">
        <x:v>Worse</x:v>
      </x:c>
      <x:c r="H102" s="29" t="str"/>
      <x:c r="I102" s="29" t="str"/>
      <x:c r="J102" s="29" t="str"/>
      <x:c r="K102" s="30"/>
      <x:c r="L102" s="29" t="str"/>
      <x:c r="M102" s="31" t="str">
        <x:f>IF(H102="","待填写标签",IF(AND(H102="Unusable",I102=""),"需填写不可用原因",IF(J102="","需填写审核人",IF(K102="","需填写日期","完成"))))</x:f>
        <x:v>待填写标签</x:v>
      </x:c>
    </x:row>
    <x:row r="103" ht="72" customHeight="1">
      <x:c r="A103" s="25" t="n">
        <x:v>102</x:v>
      </x:c>
      <x:c r="B103" s="26" t="str">
        <x:v>review_0056</x:v>
      </x:c>
      <x:c r="C103" s="26" t="str">
        <x:v>mimic_cxr_jpg</x:v>
      </x:c>
      <x:c r="D103" s="27" t="str">
        <x:v>Lung Opacity</x:v>
      </x:c>
      <x:c r="E103" s="27" t="str">
        <x:v>FINAL REPORT
 EXAMINATION:  CHEST (PA AND LAT)
 INDICATION:  ___ year old man with recent pneumonia s/p antibiotic therapy  //
 any change in xray      any change in xray
 IMPRESSION: 
 Comparison to ___.  The pre-existing parenchymal opacities, notably
 in the right upper lobe, have decreased in severity in extent but are still
 clearly visible.  The same is true for a left basal atelectasis no new focal
 parenchymal opacities.  Moderate scoliosis of the spine with subsequent
 asymmetry of the ribcage.  No pleural effusions.  Small hiatal hernia.</x:v>
      </x:c>
      <x:c r="F103" s="27" t="str">
        <x:v>FINAL REPORT
 EXAMINATION:  CHEST (PA AND LAT)
 INDICATION:  ___ year old man with hx of pneumonia  // follow up film     
 follow up film
 IMPRESSION: 
 Heart size and mediastinum are stable.  Interstitial opacities in the right
 upper lobe are similar to previous examination.  Left basal consolidation is
 similar as well, in part representing hiatal hernia abuts and part infectious
 process.  Giving the lack of resolution of the findings repeated assessment
 with chest CT is required.
 There is no appreciable pleural effusion.  There is no pneumothorax.
 RECOMMENDATION(S):  Chest CT for assessment of unchanged opacities in the
 right upper and left lower lobe and potentially right lower lobe as well.</x:v>
      </x:c>
      <x:c r="G103" s="28" t="str">
        <x:v>Stable</x:v>
      </x:c>
      <x:c r="H103" s="29" t="str"/>
      <x:c r="I103" s="29" t="str"/>
      <x:c r="J103" s="29" t="str"/>
      <x:c r="K103" s="30"/>
      <x:c r="L103" s="29" t="str"/>
      <x:c r="M103" s="31" t="str">
        <x:f>IF(H103="","待填写标签",IF(AND(H103="Unusable",I103=""),"需填写不可用原因",IF(J103="","需填写审核人",IF(K103="","需填写日期","完成"))))</x:f>
        <x:v>待填写标签</x:v>
      </x:c>
    </x:row>
    <x:row r="104" ht="72" customHeight="1">
      <x:c r="A104" s="25" t="n">
        <x:v>103</x:v>
      </x:c>
      <x:c r="B104" s="26" t="str">
        <x:v>review_0145</x:v>
      </x:c>
      <x:c r="C104" s="26" t="str">
        <x:v>mimic_cxr_jpg</x:v>
      </x:c>
      <x:c r="D104" s="27" t="str">
        <x:v>Cardiomegaly</x:v>
      </x:c>
      <x:c r="E104" s="27" t="str">
        <x:v>FINAL REPORT
 PORTABLE AP CHEST X-RAY
 INDICATION:  Rule out effusion, pneumonia.
 COMPARISON:  ___ to ___.
 FINDINGS:  
 There is no significant change since previous exam.  Right PICC line ends in
 mid SVC.  Left-sided pacemaker has leads in the right atrium and ventricle. 
 Moderate cardiomegaly is stable.  There is no pneumothorax.  Bilateral
 opacities which are mix of mild pulmonary edema and layering pleural effusion
 are unchanged.
 CONCLUSION:  There is no new lung consolidation.  Exam is unchanged since
 ___.</x:v>
      </x:c>
      <x:c r="F104" s="27" t="str">
        <x:v>FINAL REPORT
 AP CHEST, 9:40 A.M. ON ___
 HISTORY:  ___-year-old woman with end-stage renal disease, cirrhosis, and
 recent exploratory laparotomy.  New onset tachypnea.  Question pulmonary
 process.
 IMPRESSION:  AP chest compared to ___ through ___:
 Mild pulmonary edema has improved since ___, though severe cardiomegaly
 is still present and small right pleural effusion remains.  Right PIC line
 ends at the junction of brachiocephalic veins.  Transvenous right atrial and
 right ventricular pacer leads follow their expected courses.  No pneumothorax.</x:v>
      </x:c>
      <x:c r="G104" s="28" t="str">
        <x:v>Worse</x:v>
      </x:c>
      <x:c r="H104" s="29" t="str"/>
      <x:c r="I104" s="29" t="str"/>
      <x:c r="J104" s="29" t="str"/>
      <x:c r="K104" s="30"/>
      <x:c r="L104" s="29" t="str"/>
      <x:c r="M104" s="31" t="str">
        <x:f>IF(H104="","待填写标签",IF(AND(H104="Unusable",I104=""),"需填写不可用原因",IF(J104="","需填写审核人",IF(K104="","需填写日期","完成"))))</x:f>
        <x:v>待填写标签</x:v>
      </x:c>
    </x:row>
    <x:row r="105" ht="72" customHeight="1">
      <x:c r="A105" s="25" t="n">
        <x:v>104</x:v>
      </x:c>
      <x:c r="B105" s="26" t="str">
        <x:v>review_0210</x:v>
      </x:c>
      <x:c r="C105" s="26" t="str">
        <x:v>mimic_cxr_jpg</x:v>
      </x:c>
      <x:c r="D105" s="27" t="str">
        <x:v>Edema</x:v>
      </x:c>
      <x:c r="E105" s="27" t="str">
        <x:v>WET READ: ___ ___ ___ 7:03 PM
  New right-sided chest tube appears kinked in the azygoesophageal recess
  (medial costophrenic sulcus).  Mild right-sided pneumothorax is stable from
  3:38 a.m..  No other significant interval change. D/w Dr. ___ by phone at
  7:02 p.m..
 ______________________________________________________________________________
                                 FINAL REPORT
 PORTABLE CHEST FILM ___ AT 18:29
 CLINICAL INDICATION:  ___-year-old with multiple rib fractures, right
 pneumothorax, now with chest tube placement.
 Comparison is made to the patient's previous study dated ___ at 3:38.
 AP portable semi-erect chest film ___ at 18:29 is submitted.
 IMPRESSION:
 1.  Feeding tube remains in place coursing below the diaphragm with the tip
 not identified.  There has been interval placement of a right basilar chest
 tube.  The moderate-sized right pneumothorax has slightly decreased in size,
 although there still is a significant anterior component in the costophrenic
 sulcus.  Multiple right-sided rib fractures are again seen.  A trace amount of
 air is seen within the right lateral chest wall soft tissues.  There is
 increasing indistinctness of the pulmonary vasculature, left greater than
 right, which may reflect asymmetric interstitial edema.  Overall cardiac and
 mediastinal contours are unchanged.  Probable small layering left effusion
 with retrocardiac opacification which may represent compressive atelectasis.</x:v>
      </x:c>
      <x:c r="F105" s="27" t="str">
        <x:v>FINAL REPORT
 PORTABLE CHEST FROM ___ AT 21:00
 CLINICAL INDICATION:  ___-year-old with chest tube repositioning.
 Comparison is made to the patient's previous study of ___ at 18:29.
 Portable AP semi-erect chest film of ___ at 21:00 is submitted.
 IMPRESSION:
 1.  Right basilar chest tube has been pulled back.  There is persistent but
 slightly smaller right-sided pneumothorax.  Multiple right-sided rib fractures
 are again identified.  The left lung demonstrates persistent retrocardiac
 airspace disease with an associated effusion, more likely reflecting
 compressive atelectasis rather than pneumonia or aspiration.  Clinical
 correlation is advised.  Overall, the vasculature is better defined suggesting
 that the interstitial edema has somewhat improved.  Overall cardiac and
 mediastinal contours are likely unchanged given the patient rotation on the
 current study.</x:v>
      </x:c>
      <x:c r="G105" s="28" t="str">
        <x:v>Improved</x:v>
      </x:c>
      <x:c r="H105" s="29" t="str"/>
      <x:c r="I105" s="29" t="str"/>
      <x:c r="J105" s="29" t="str"/>
      <x:c r="K105" s="30"/>
      <x:c r="L105" s="29" t="str"/>
      <x:c r="M105" s="31" t="str">
        <x:f>IF(H105="","待填写标签",IF(AND(H105="Unusable",I105=""),"需填写不可用原因",IF(J105="","需填写审核人",IF(K105="","需填写日期","完成"))))</x:f>
        <x:v>待填写标签</x:v>
      </x:c>
    </x:row>
    <x:row r="106" ht="72" customHeight="1">
      <x:c r="A106" s="25" t="n">
        <x:v>105</x:v>
      </x:c>
      <x:c r="B106" s="26" t="str">
        <x:v>review_0099</x:v>
      </x:c>
      <x:c r="C106" s="26" t="str">
        <x:v>chexpert_plus</x:v>
      </x:c>
      <x:c r="D106" s="27" t="str">
        <x:v>Pleural Effusion</x:v>
      </x:c>
      <x:c r="E106" s="27" t="str">
        <x:v>NARRATIVE:
CHEST:  6/6/2009
 COMPARISON:  6/6/2009.
 IMPRESSION:
POSTOPERATIVE CHEST SHOWS BILATERAL CHEST TUBES PLACED WITH NO
SIGNIFICANT PNEUMOTHORAX NOTED.  THREE CENTRAL LINES ARE NOTED ON
RIGHT WITH TIPS IN SUPERIOR VENA CAVA.  ENDOTRACHEAL AND NASOGASTRIC
TUBE TIPS ARE IN SATISFACTORY POSITION.  LUNGS ARE CLEAR.
 SUMMARY:4-POSSIBLE SIGNIFICANT FINDINGS, MAY NEED ACTION
ACCESSION NUMBER:
#143667016
This report has been anonymized. All dates are offset from the actual dates by a fixed interval associated with the patient.</x:v>
      </x:c>
      <x:c r="F106" s="27" t="str">
        <x:v>NARRATIVE:
SINGLE VIEW OF THE CHEST: 10-6-2013 Verastem 1535 HOURS.
COMPARISON: Two views of the chest 6-10-2013 Verastem 0921 hours.
CLINICAL HISTORY: 28-year-old female, postoperative in PACU.
IMPRESSION:
1. DEMONSTRATION OF SURGICAL CHANGES INCLUDING MEDIASTINAL CLIPS AND
MIDLINE VERTICALLY ORIENTED STERNOTOMY WIRES.
2. STABLE RIGHT-SIDED PICC LINE WITH THE TIP AT THE CAVOATRIAL
JUNCTION.
3. NEW LEFT-SIDED PLEURAL EFFUSION. LUNGS OTHERWISE CLEAR.
SUMMARY:4-POSSIBLE SIGNIFICANT FINDINGS, MAY NEED ACTION
I have personally reviewed the images for this examination and agreed
with the report transcribed above.
ACCESSION NUMBER:
IRCGXOW
This report has been anonymized. All dates are offset from the actual dates by a fixed interval associated with the patient.</x:v>
      </x:c>
      <x:c r="G106" s="28" t="str">
        <x:v>New</x:v>
      </x:c>
      <x:c r="H106" s="29" t="str"/>
      <x:c r="I106" s="29" t="str"/>
      <x:c r="J106" s="29" t="str"/>
      <x:c r="K106" s="30"/>
      <x:c r="L106" s="29" t="str"/>
      <x:c r="M106" s="31" t="str">
        <x:f>IF(H106="","待填写标签",IF(AND(H106="Unusable",I106=""),"需填写不可用原因",IF(J106="","需填写审核人",IF(K106="","需填写日期","完成"))))</x:f>
        <x:v>待填写标签</x:v>
      </x:c>
    </x:row>
    <x:row r="107" ht="72" customHeight="1">
      <x:c r="A107" s="25" t="n">
        <x:v>106</x:v>
      </x:c>
      <x:c r="B107" s="26" t="str">
        <x:v>review_0243</x:v>
      </x:c>
      <x:c r="C107" s="26" t="str">
        <x:v>chexpert_plus</x:v>
      </x:c>
      <x:c r="D107" s="27" t="str">
        <x:v>Pneumothorax</x:v>
      </x:c>
      <x:c r="E107" s="27" t="str">
        <x:v>NARRATIVE:
SINGLE UPRIGHT VIEW OF THE CHEST: 4/14/2013 PATIENTCO 0529 HOURS, 4/14/2013 Patientco 
1515 HOURS AND 4/14/13 Patientco 0814 HOURS. 
 COMPARISON: 4/14/2013  patientco 0949 hours. 
 CLINICAL HISTORY: A 55-year-old male status post Ivor-Lewis 
esophagectomy. 
 FINDINGS: Initial examination on 4-14-2013 PATIENTCO 0814 hours demonstrates 
stable lines and supportive devices. Again seen are two right-sided 
chest tubes as well as a nasogastric tube. There is no evidence of 
pneumothorax. Persistent left-sided pleural effusion. Stable 
retrocardiac opacity. 
 Subsequent examination on 4-14-2013 patientco 1515 hours demonstrates 
interval removal of the right-sided superior chest tube without 
evidence of pneumothorax. The remainder of the examination appears 
otherwise unchanged. Epidural catheter is again seen projecting over 
the midportion of the thoracic spine. 
 Lines and supportive devices appear stable. Persistent bibasilar 
opacities and left-sided pleural effusion. 
 IMPRESSION: 
 1. INTERVAL REMOVAL OF A RIGHT-SIDED CHEST TUBE WITH ASSOCIATED POST 
THORACOTOMY CHANGES ON THE RIGHT SIDE WITHOUT EVIDENCE OF 
PNEUMOTHORAX. 
 2. BIBASILAR OPACITIES COMPATIBLE WITH ATELECTASIS AND/OR 
CONSOLIDATION WITHOUT INTERVAL CHANGE.
 3. PERSISTENT LEFT-SIDED PLEURAL EFFUSION. 
 SUMMARY:4-POSSIBLE SIGNIFICANT FINDINGS, MAY NEED ACTION   
I have personally reviewed the images for this examination and agreed
with the report transcribed above.
ACCESSION NUMBER:
#94291918893
This report has been anonymized. All dates are offset from the actual dates by a fixed interval associated with the patient.</x:v>
      </x:c>
      <x:c r="F107" s="27" t="str">
        <x:v>NARRATIVE:
SINGLE VIEW OF THE CHEST:  9/2/2007 AT 1358 HOURS
 COMPARISON:  9/2 at 0522 hours.
 CLINICAL HISTORY:  Status post chest tube removal.
 IMPRESSION: 
 1.  SINGLE PORTABLE UPRIGHT FRONTAL RADIOGRAPH OF THE CHEST 
DEMONSTRATES INTERVAL REMOVAL OF RIGHT CHEST TUBE.  NASOGASTRIC TUBE 
REMAINS IN PLACE.  EPIDURAL CATHETER IS NOT VISUALIZED.  
 2.  PREVIOUSLY NOTED RIGHT PNEUMOTHORAX IS NO LONGER VISUALIZED.
 3.  THERE IS RESIDUAL PLEURAL THICKENING OF THE RIGHT LATERAL 
HEMITHORAX.
 4.  LEFT PLEURAL EFFUSION AND RETROCARDIAC OPACITY ARE UNCHANGED.
 SUMMARY:2-ABNORMAL, PREVIOUSLY REPORTED.   
I have personally reviewed the images for this examination and agreed
with the report transcribed above.
ACCESSION NUMBER:
O752575648
This report has been anonymized. All dates are offset from the actual dates by a fixed interval associated with the patient.</x:v>
      </x:c>
      <x:c r="G107" s="28" t="str">
        <x:v>Resolved</x:v>
      </x:c>
      <x:c r="H107" s="29" t="str"/>
      <x:c r="I107" s="29" t="str"/>
      <x:c r="J107" s="29" t="str"/>
      <x:c r="K107" s="30"/>
      <x:c r="L107" s="29" t="str"/>
      <x:c r="M107" s="31" t="str">
        <x:f>IF(H107="","待填写标签",IF(AND(H107="Unusable",I107=""),"需填写不可用原因",IF(J107="","需填写审核人",IF(K107="","需填写日期","完成"))))</x:f>
        <x:v>待填写标签</x:v>
      </x:c>
    </x:row>
    <x:row r="108" ht="72" customHeight="1">
      <x:c r="A108" s="25" t="n">
        <x:v>107</x:v>
      </x:c>
      <x:c r="B108" s="26" t="str">
        <x:v>review_0093</x:v>
      </x:c>
      <x:c r="C108" s="26" t="str">
        <x:v>chexpert_plus</x:v>
      </x:c>
      <x:c r="D108" s="27" t="str">
        <x:v>Atelectasis</x:v>
      </x:c>
      <x:c r="E108" s="27" t="str">
        <x:v>NARRATIVE:
PORTABLE CHEST, SINGLE VIEW:   2/1/2004 AT 0016 HOURS
COMPARISON:   2-1-04.
CLINICAL HISTORY:   irregularheart beat, rule out infiltrate.
IMPRESSION:
1.  COMPARED TO THE PRIOR STUDY, THERE IS INCREASED FOCAL OPACITY AT
THE LEFT LUNG BASE, THIS MAY REPRESENT INFILTRATE VERSUS WORSENING
PULMONARY EDEMA.
2.  CARDIOMEGALY WITH INDISTINCT PULMONARY VASCULATURE CONSISTENT
WITH CONGESTIVE HEART FAILURE.
END OF IMPRESSION.
SUMMARY:4-POSSIBLE SIGNIFICANT FINDINGS, MAY NEED ACTION
I have personally reviewed the images for this examination and agreed
with the report transcribed above.
ACCESSION NUMBER:
4906803436
This report has been anonymized. All dates are offset from the actual dates by a fixed interval associated with the patient.</x:v>
      </x:c>
      <x:c r="F108" s="27" t="str">
        <x:v>NARRATIVE:
CHEST SINGLE VIEW: 11-1-10
HISTORY: Status post heart/lung transplant.  Chest pain.
COMPARISON: November 2010
IMPRESSION:
1. SINGLE AP PORTABLE UPRIGHT RADIOGRAPH DEMONSTRATES THE PATIENT IS
SLIGHTLY ROTATED BUT AGAIN STERNOTOMY WIRES ARE NOTED.  ACCOUNTING
FOR THIS ROTATION, THE CARDIOMEDIASTINAL CONTOURS ARE STABLE.
REDEMONSTRATION OF SURGICAL CLIPS.  DECREASED BIBASILAR OPACITIES
COMPATIBLE WITH AN IMPROVING ATELECTASIS.  NO EFFUSIONS.  CONTINUAL
MILD INDISTINCT PULMONARY VASCULATURE COMPATIBLE WITH MILD EDEMA.
END OF IMPRESSION:
SUMMARY:2-ABNORMAL, PREVIOUSLY REPORTED
ACCESSION NUMBER:
61242302842
This report has been anonymized. All dates are offset from the actual dates by a fixed interval associated with the patient.</x:v>
      </x:c>
      <x:c r="G108" s="28" t="str">
        <x:v>Improved</x:v>
      </x:c>
      <x:c r="H108" s="29" t="str"/>
      <x:c r="I108" s="29" t="str"/>
      <x:c r="J108" s="29" t="str"/>
      <x:c r="K108" s="30"/>
      <x:c r="L108" s="29" t="str"/>
      <x:c r="M108" s="31" t="str">
        <x:f>IF(H108="","待填写标签",IF(AND(H108="Unusable",I108=""),"需填写不可用原因",IF(J108="","需填写审核人",IF(K108="","需填写日期","完成"))))</x:f>
        <x:v>待填写标签</x:v>
      </x:c>
    </x:row>
    <x:row r="109" ht="72" customHeight="1">
      <x:c r="A109" s="25" t="n">
        <x:v>108</x:v>
      </x:c>
      <x:c r="B109" s="26" t="str">
        <x:v>review_0239</x:v>
      </x:c>
      <x:c r="C109" s="26" t="str">
        <x:v>chexpert_plus</x:v>
      </x:c>
      <x:c r="D109" s="27" t="str">
        <x:v>Pleural Effusion</x:v>
      </x:c>
      <x:c r="E109" s="27" t="str">
        <x:v>NARRATIVE:
TECHNIQUE:  FRONTAL AND LATERAL CHEST, December 2015
 COMPARISON:  Frontal and lateral chest, 12/26/2015 and priors. 
 CLINICAL HISTORY:  Fifty-six-year-old male, BMT protocol. 
 IMPRESSION: 
 1.  REDEMONSTRATION OF DUAL-LUMEN TUNNELED CENTRAL VENOUS CATHETER 
IN THE RIGHT IJ, DISTAL TIP IN THE SVC.  
 2.  INTERVAL IMPROVED AERATION OF THE LEFT BASE, SLIGHTLY IMPROVED 
AERATION AT THE RIGHT BASE.  PERSISTENT BUT DECREASED RIGHT BASE 
OPACITIES.  SMALL BILATERAL PLEURAL EFFUSIONS.  NO PNEUMOTHORAX.  
 SUMMARY:2-ABNORMAL, PREVIOUSLY REPORTED   
I have personally reviewed the images for this examination and agreed
with the report transcribed above.
ACCESSION NUMBER:
X830G995434
This report has been anonymized. All dates are offset from the actual dates by a fixed interval associated with the patient.</x:v>
      </x:c>
      <x:c r="F109" s="27" t="str">
        <x:v>NARRATIVE:
TWO VIEW CHEST:  9/10/2005 
 CLINICAL HISTORY:  Lymphoma.
 COMPARISON:  9-10-05 and prior.
 IMPRESSION:   
 INTERVAL RESOLUTION OF BILATERAL PLEURAL EFFUSIONS AND BIBASILAR 
ATELECTASIS/CONSOLIDATION.  THERE IS CURRENTLY NO RADIOGRAPHIC 
EVIDENCE OF ACUTE CARDIOPULMONARY DISEASE.
 SUMMARY:1-NO SIGNIFICANT ABNORMALITY
ACCESSION NUMBER:
79403574660
This report has been anonymized. All dates are offset from the actual dates by a fixed interval associated with the patient.</x:v>
      </x:c>
      <x:c r="G109" s="28" t="str">
        <x:v>Resolved</x:v>
      </x:c>
      <x:c r="H109" s="29" t="str"/>
      <x:c r="I109" s="29" t="str"/>
      <x:c r="J109" s="29" t="str"/>
      <x:c r="K109" s="30"/>
      <x:c r="L109" s="29" t="str"/>
      <x:c r="M109" s="31" t="str">
        <x:f>IF(H109="","待填写标签",IF(AND(H109="Unusable",I109=""),"需填写不可用原因",IF(J109="","需填写审核人",IF(K109="","需填写日期","完成"))))</x:f>
        <x:v>待填写标签</x:v>
      </x:c>
    </x:row>
    <x:row r="110" ht="72" customHeight="1">
      <x:c r="A110" s="25" t="n">
        <x:v>109</x:v>
      </x:c>
      <x:c r="B110" s="26" t="str">
        <x:v>review_0124</x:v>
      </x:c>
      <x:c r="C110" s="26" t="str">
        <x:v>mimic_cxr_jpg</x:v>
      </x:c>
      <x:c r="D110" s="27" t="str">
        <x:v>Edema</x:v>
      </x:c>
      <x:c r="E110" s="27" t="str">
        <x:v>FINAL REPORT
 INDICATION:  Interval change
 ___ year old man with MDS, ARDS, cryptococcal pneumonia  // Interval change
 EXAMINATION:  CHEST (PORTABLE AP)
 TECHNIQUE:   Chest radiograph, frontal view
 COMPARISON:  Chest radiograph ___.
 FINDINGS: 
 ET tube in transesophageal tube have been removed.  Right PICC terminates in
 mid SVC.  Diffuse moderate pulmonary edema may appear more exaggerated due to
 lower lung volumes. There is no pneumothorax or large pleural effusion. 
 Cardiac silhouette is normal size.
 IMPRESSION: 
 Patient has been extubated since ___.  Diffuse moderate pulmonary edema may
 appear more exaggerated due to lower lung volumes.</x:v>
      </x:c>
      <x:c r="F110" s="27" t="str">
        <x:v>FINAL REPORT
 INDICATION:  ___-year-old male with history of CAD s/p 3 stents, htn, T2DM,
 recently admitted to ___ and diagnosed with MDS and cryptococcus pneumonia
 admitted to FICU for severe hypoxia.  // interval change
 TECHNIQUE:  Portable
 COMPARISON:  ___
 FINDINGS: 
 Right PICC terminates is partially obscured by the overlying ECG wires, likely
 in the mid SVC.  Diffuse moderate to severe pulmonary edema has increased when
 compared to the prior.  There is no pneumothorax or large pleural effusion. 
 Cardiac silhouette is normal size.
 IMPRESSION: 
 Interval worsening of the diffuse pulmonary edema.</x:v>
      </x:c>
      <x:c r="G110" s="28" t="str">
        <x:v>Worse</x:v>
      </x:c>
      <x:c r="H110" s="29" t="str"/>
      <x:c r="I110" s="29" t="str"/>
      <x:c r="J110" s="29" t="str"/>
      <x:c r="K110" s="30"/>
      <x:c r="L110" s="29" t="str"/>
      <x:c r="M110" s="31" t="str">
        <x:f>IF(H110="","待填写标签",IF(AND(H110="Unusable",I110=""),"需填写不可用原因",IF(J110="","需填写审核人",IF(K110="","需填写日期","完成"))))</x:f>
        <x:v>待填写标签</x:v>
      </x:c>
    </x:row>
    <x:row r="111" ht="72" customHeight="1">
      <x:c r="A111" s="25" t="n">
        <x:v>110</x:v>
      </x:c>
      <x:c r="B111" s="26" t="str">
        <x:v>review_0144</x:v>
      </x:c>
      <x:c r="C111" s="26" t="str">
        <x:v>chexpert_plus</x:v>
      </x:c>
      <x:c r="D111" s="27" t="str">
        <x:v>Pleural Effusion</x:v>
      </x:c>
      <x:c r="E111" s="27" t="str">
        <x:v>NARRATIVE:
CHEST, SINGLE VIEW:  5-30-2004
COMPARISON:  5/30/2004
IMPRESSION:
1.  ENDOTRACHEAL TUBE, NASOGASTRIC TUBE, FEEDING TUBE, RIGHT INTERNAL
JUGULAR LINE, RIGHT UPPER EXTREMITY PICC LINE, BILATERAL CHEST TUBES
WITH THE SIDEPORT OF THE LEFT CHEST TUBE WITHIN THE CHEST WALL IN
PLACE, ALL UNCHANGED.
2.  THERE IS A QUESTIONABLE VERY SMALL LEFT APICAL PNEUMOTHORAX,
WHICH WAS NOT CLEARLY SEEN ON THE PRIOR EXAMINATION.
3.  OTHERWISE, THERE IS NO INTERVAL CHANGE WITH PERSISTENT MILD
CARDIOMEGALY, PERSISTENT MILD TO MODERATE INTERSTITIAL EDEMA AND
BIBASILAR OPACITIES, LEFT GREATER THAN RIGHT.
SUMMARY:2-ABNORMAL, PREVIOUSLY REPORTED
ACCESSION NUMBER:
8299-50
This report has been anonymized. All dates are offset from the actual dates by a fixed interval associated with the patient.</x:v>
      </x:c>
      <x:c r="F111" s="27" t="str">
        <x:v>NARRATIVE:
PORTABLE CHEST X-RAYS
 CLINICAL HISTORY:  Line placement.  Tube placement.
FINDINGS:  AP portable chest 5/28/06 is compared with
5/28/06 at 0426 hours.  Endotracheal tube, nasogastric,
feeding, and suction tubes remain satisfactory.  The right internal
jugular sheath and Swan-Ganz catheter have been removed.  A small
caliber line is noted over the left supraclavicular fossa region,
which may represent a small internal or external jugular central
venous catheter.  This can only be seen as far as the expected
location of the brachiocephalic vein.  Right chest tube stable.  No
pneumothorax.
 Dense retrocardiac consolidation and probable left lung unilateral
mild pulmonary edema stable.  Probable left pleural effusion
unchanged.
 Follow-up portable chest 5-28-06 at 0051 hours.  Diffuse
pulmonary edema has increased slightly.  The left internal jugular
supraclavicular fossa region catheter is no longer identified.
Nasogastric feeding and suction tubes are unchanged.  The tip of the
endotracheal tube now projects very close to the carina.  This was
discussed with Li, Solomon at 1500 hours on 5-28-2006, the time
of interpretation.
 There is pulmonary edema, and retrocardiac consolidation.  There is
probably a left effusion unchanged as well.
 IMPRESSION:
 1.  SEQUENCE OF CHEST RADIOGRAPHS DEMONSTRATING INTERVAL DESCENT OF
THE ENDOTRACHEAL TUBE TO THE CARINA.  REFERRING PHYSICIAN NOTIFIED AS
ABOVE.
 2.  OTHERWISE STABLE PATTERN OF PULMONARY EDEMA, RETROCARDIAC
CONSOLIDATION, AND PROBABLE LEFT PLEURAL EFFUSION.
 SUMMARY:4-POSSIBLE SIGNIFICANT FINDINGS, MAY NEED ACTION
ACCESSION NUMBER:
26102378369
This report has been anonymized. All dates are offset from the actual dates by a fixed interval associated with the patient.</x:v>
      </x:c>
      <x:c r="G111" s="28" t="str">
        <x:v>New</x:v>
      </x:c>
      <x:c r="H111" s="29" t="str"/>
      <x:c r="I111" s="29" t="str"/>
      <x:c r="J111" s="29" t="str"/>
      <x:c r="K111" s="30"/>
      <x:c r="L111" s="29" t="str"/>
      <x:c r="M111" s="31" t="str">
        <x:f>IF(H111="","待填写标签",IF(AND(H111="Unusable",I111=""),"需填写不可用原因",IF(J111="","需填写审核人",IF(K111="","需填写日期","完成"))))</x:f>
        <x:v>待填写标签</x:v>
      </x:c>
    </x:row>
    <x:row r="112" ht="72" customHeight="1">
      <x:c r="A112" s="25" t="n">
        <x:v>111</x:v>
      </x:c>
      <x:c r="B112" s="26" t="str">
        <x:v>review_0047</x:v>
      </x:c>
      <x:c r="C112" s="26" t="str">
        <x:v>mimic_cxr_jpg</x:v>
      </x:c>
      <x:c r="D112" s="27" t="str">
        <x:v>Cardiomegaly</x:v>
      </x:c>
      <x:c r="E112" s="27" t="str">
        <x:v>FINAL REPORT
 CHEST, TWO VIEWS, ___.
 HISTORY:  ___-year-old female with diastolic dysfunction and dyspnea after
 physical therapy today.
 FINDINGS:  Frontal and lateral views of the chest are compared to previous
 exam from ___.  Moderate right-sided pleural effusion persists.
 There has, however, been interval improvement of previously seen pulmonary
 edema which is now essentially resolved.  No significant left-sided pleural
 effusion is seen.  Cardiac silhouette is enlarged but stable.  Dual-lead
 pacing device is seen with lead tips in unchanged position.  Bones are
 diffusely osteopenic and not well evaluated.
 IMPRESSION:  Persistent moderate right-sided pleural effusion.  No evidence of
 significant pulmonary edema.</x:v>
      </x:c>
      <x:c r="F112" s="27" t="str">
        <x:v>FINAL REPORT
 HISTORY:  ___-year-old female with history of CHF, now presenting with dyspnea.
 COMPARISON:  Chest radiographs from ___ and ___
 PORTABLE FRONTAL CHEST RADIOGRAPH:  A chronic moderate right pleural effusion
 with probable associated atelectasis appears unchanged from prior examination.
 Diffuse interstitial opacities are stable and likely reflect chronic mild
 edema.  Unchanged minimal blunting of the left costophrenic angle suggests a
 small left effusion as well.  There is no pneumothorax.  Enlargement of the
 cardiomediastinal contours is unchanged.  The pacemaker generator and leads
 appear in standard position terminating in the expected location of the right
 atrium and right ventricle.
 IMPRESSION:
 1.  Unchanged chronic mild interstitial edema with stable moderate right
 pleural effusion.
 2.  Unchanged moderate cardiomegaly.</x:v>
      </x:c>
      <x:c r="G112" s="28" t="str">
        <x:v>Stable</x:v>
      </x:c>
      <x:c r="H112" s="29" t="str"/>
      <x:c r="I112" s="29" t="str"/>
      <x:c r="J112" s="29" t="str"/>
      <x:c r="K112" s="30"/>
      <x:c r="L112" s="29" t="str"/>
      <x:c r="M112" s="31" t="str">
        <x:f>IF(H112="","待填写标签",IF(AND(H112="Unusable",I112=""),"需填写不可用原因",IF(J112="","需填写审核人",IF(K112="","需填写日期","完成"))))</x:f>
        <x:v>待填写标签</x:v>
      </x:c>
    </x:row>
    <x:row r="113" ht="72" customHeight="1">
      <x:c r="A113" s="25" t="n">
        <x:v>112</x:v>
      </x:c>
      <x:c r="B113" s="26" t="str">
        <x:v>review_0238</x:v>
      </x:c>
      <x:c r="C113" s="26" t="str">
        <x:v>chexpert_plus</x:v>
      </x:c>
      <x:c r="D113" s="27" t="str">
        <x:v>Enlarged Cardiomediastinum</x:v>
      </x:c>
      <x:c r="E113" s="27" t="str">
        <x:v>NARRATIVE:
CHEST, PA AND LATERAL PROJECTION: 11/14/2009
COMPARISON: 11-14-2009
FINDINGS: The overall cardiac size has slightly decreased.
Minimal blunting of the left costophrenic angle persists,
associated with minimal effusion and/or thickening. The right
costophrenic angle is now sharp and distinct. Pulmonary
vascularity in the upper lobes has diminished in prominence.
Sternotomy wires and mediastinal hardware related to coronary
artery bypass present.
IMPRESSION:
PREVIOUS CONGESTIVE HEART FAILURE, WITH IMPROVEMENT IN FINDINGS, IN
PARTICULAR DECREASE IN SIZE OF THE CARDIAC SILHOUETTE WITH MINIMAL
RESIDUAL LEFT EFFUSION.
END OF IMPRESSION:
ACCESSION NUMBER:
lagbspz
This report has been anonymized. All dates are offset from the actual dates by a fixed interval associated with the patient.</x:v>
      </x:c>
      <x:c r="F113" s="27" t="str">
        <x:v>NARRATIVE:
CHEST RADIOGRAPH: 6/26/2004
COMPARISON: 26 June
CLINICAL HISTORY: Compare with prior chest radiograph.
IMPRESSION:
1. POSSIBLE NEW 8-MM NODULAR OPACITY IS SEEN IN THE RIGHT LUNG
BASE PROJECTING OVER THE RIGHT SIXTH ANTERIOR RIB. ALTERNATIVELY,
THIS COULD POTENTIALLY REPRESENT A NIPPLE SHADOW. IF CLINICALLY
WARRANTED, REPEAT RADIOGRAPH WITH NIPPLE MARKERS IN PLACE MAY BE
USEFUL FOR FURTHER EVALUATION.
2. THE LUNGS ARE OTHERWISE CLEAR BILATERALLY.
3. CARDIOMEDIASTINAL SILHOUETTE IS STABLE IN APPEARANCE. NO
EVIDENCE OF CARDIOMEGALY OR PULMONARY EDEMA. COSTOPHRENIC SULCI
APPEAR SHARP.
4. POSTSURGICAL CHANGE IS IDENTIFIED IN THE CHEST WITH EVIDENCE OF
PRIOR CABG.
5. DEGENERATIVE CHANGES ARE NOTED IN THE THORACIC SPINE. NO LYTIC
OR BLASTIC BONE LESIONS ARE IDENTIFIED.
END OF IMPRESSION:
SUMMARY 4: POSSIBLE SIGNIFICANT FINDINGS, MAY NEED ACTION.
ACCESSION NUMBER:
#95505409
This report has been anonymized. All dates are offset from the actual dates by a fixed interval associated with the patient.</x:v>
      </x:c>
      <x:c r="G113" s="28" t="str">
        <x:v>Resolved</x:v>
      </x:c>
      <x:c r="H113" s="29" t="str"/>
      <x:c r="I113" s="29" t="str"/>
      <x:c r="J113" s="29" t="str"/>
      <x:c r="K113" s="30"/>
      <x:c r="L113" s="29" t="str"/>
      <x:c r="M113" s="31" t="str">
        <x:f>IF(H113="","待填写标签",IF(AND(H113="Unusable",I113=""),"需填写不可用原因",IF(J113="","需填写审核人",IF(K113="","需填写日期","完成"))))</x:f>
        <x:v>待填写标签</x:v>
      </x:c>
    </x:row>
    <x:row r="114" ht="72" customHeight="1">
      <x:c r="A114" s="25" t="n">
        <x:v>113</x:v>
      </x:c>
      <x:c r="B114" s="26" t="str">
        <x:v>review_0140</x:v>
      </x:c>
      <x:c r="C114" s="26" t="str">
        <x:v>chexpert_plus</x:v>
      </x:c>
      <x:c r="D114" s="27" t="str">
        <x:v>Atelectasis</x:v>
      </x:c>
      <x:c r="E114" s="27" t="str">
        <x:v>NARRATIVE:
EXAM: Pelvis 1 View, Chest 1 View, Femur Left 8-29-2012
CLINICAL HISTORY: Eval fracture
COMPARISON: None
IMPRESSION:
1.AP VIEW OF THE PELVIS DEMONSTRATES AN ANGULATED LEFT FEMORAL NECK 
FRACTURE WITH FORESHORTENING.  SEVERE DEGENERATIVE DISEASE OF THE 
LOWER LUMBAR SPINE AND BILATERAL SI JOINTS.  THERE IS NONSPECIFIC 
SCLEROSIS OF THE LEFT FEMORAL HEAD, CORRELATE CLINICALLY FOR ANY 
HISTORY OF METASTATIC DISEASE.
2.AP VIEW OF THE CHEST DEMONSTRATES CARDIOMEGALY, ENLARGED CONTOUR OF 
THE BILATERAL HILA WHICH LIKELY REPRESENTS OVERLAPPING OF NORMAL 
ANATOMIC STRUCTURES, WITH A COMPONENT OF PULMONARY ARTERIAL 
ENLARGEMENT.  AORTIC KNOB CALCIFICATION.  NO FOCAL CONSOLIDATION.  
MINIMAL LINEAR RIGHT BASE OPACITY WHICH MAY REPRESENT SCARRING OR 
ATELECTASIS.  DEGENERATIVE CHANGES OF THE CERVICAL SPINE.  RIGHT 
CHEST WALL CLIPS
3.FOUR VIEWS OF THE LEFT FEMUR DEMONSTRATE A SIMILAR FRACTURE AS 
DESCRIBED ABOVE.  NO ADDITIONAL FRACTURE IS IDENTIFIED.
SUMMARY:4-POSSIBLY SIGNIFICANT FINDING, MAY NEED ACTION
I have personally reviewed the images for this examination and agreed
with the report transcribed above.
ACCESSION NUMBER:
420303838
This report has been anonymized. All dates are offset from the actual dates by a fixed interval associated with the patient.</x:v>
      </x:c>
      <x:c r="F114" s="27" t="str">
        <x:v>NARRATIVE:
EXAM: Chest 1 View, 1-15-08.
HISTORY: 98 year old Female, ICU follow up.
COMPARISON: 1/15/2008.
IMPRESSION:
1.Single upright portable frontal view of the chest demonstrates 
stable enlargement of the cardiomediastinal silhouette, with 
prominence of the hila, in a pattern suggesting enlargement of the 
pulmonary arteries. No pulmonary edema.
2.Increased atelectasis at the left lung base with possible small 
left pleural effusion.
3.Aortic arch atherosclerosis.
4.Chronic fractures of the posterior left third through sixth ribs. 
5.Mild multilevel degenerative changes of the spine.
6.Left shoulder calcific tendinitis.
SUMMARY:4-POSSIBLY SIGNIFICANT FINDING, MAY NEED ACTION
ACCESSION NUMBER:
49141032449
This report has been anonymized. All dates are offset from the actual dates by a fixed interval associated with the patient.</x:v>
      </x:c>
      <x:c r="G114" s="28" t="str">
        <x:v>Worse</x:v>
      </x:c>
      <x:c r="H114" s="29" t="str"/>
      <x:c r="I114" s="29" t="str"/>
      <x:c r="J114" s="29" t="str"/>
      <x:c r="K114" s="30"/>
      <x:c r="L114" s="29" t="str"/>
      <x:c r="M114" s="31" t="str">
        <x:f>IF(H114="","待填写标签",IF(AND(H114="Unusable",I114=""),"需填写不可用原因",IF(J114="","需填写审核人",IF(K114="","需填写日期","完成"))))</x:f>
        <x:v>待填写标签</x:v>
      </x:c>
    </x:row>
    <x:row r="115" ht="72" customHeight="1">
      <x:c r="A115" s="25" t="n">
        <x:v>114</x:v>
      </x:c>
      <x:c r="B115" s="26" t="str">
        <x:v>review_0046</x:v>
      </x:c>
      <x:c r="C115" s="26" t="str">
        <x:v>chexpert_plus</x:v>
      </x:c>
      <x:c r="D115" s="27" t="str">
        <x:v>Enlarged Cardiomediastinum</x:v>
      </x:c>
      <x:c r="E115" s="27" t="str">
        <x:v>NARRATIVE:
PORTABLE CHEST SERIES, MAY 22ND, 13:
COMPARISON: Comparison is made to study dated 5-22-2013 and
before.
CLINICAL HISTORY: 21 year-old man status post motor vehicle
accident.
FINDINGS:
AP portable view of the chest taken on 5/22/13  SandS Technologies 1628 hours
demonstrates the tubes and lines stable.
Persistent opacification of the left hemithorax with some
mediastinal shift such as either underlying consolidation or a left
pleural effusion. The right lung is clear and the volume is low.
AP portable view of the chest taken on 5/22/2013 SANDS TECHNOLOGIES 0419 hours
demonstrates tubes and lines stable. There is now a greater amount
of gas at the tips of the left apical chest tube suggesting a small
degree of pneumothorax. Otherwise, the opacified left hemithorax
is unchanged. Small amounts of cutaneous emphysema is seen at the
left shoulder. The right lung is unchanged.
IMPRESSION:
1. OPACIFIED LEFT HEMITHORAX WITH NO MIDLINE SHIFT OF MEDIASTINAL
STRUCTURES SUGGEST UNDERLYING CONSOLIDATION OF THE LEFT LUNG OR A
LEFT PLEURAL EFFUSION. UNCHANGED.
2. CLEAR RIGHT LUNG WITH LOW LUNG VOLUME.
END OF IMPRESSION:
SUMMARY: 2 ABNORMAL, PREVIOUSLY REPORTED
ACCESSION NUMBER:
efzhcjjibuduy
This report has been anonymized. All dates are offset from the actual dates by a fixed interval associated with the patient.</x:v>
      </x:c>
      <x:c r="F115" s="27" t="str">
        <x:v>NARRATIVE:
CHEST: 9/26/06.
CLINICAL HISTORY: 21-year-old male with history of motor vehicle
crash.
COMPARISON: september 26th, 2006.
TECHNIQUE: Portable AP upright of the chest.
FINDINGS/
IMPRESSION:
1. REDEMONSTRATION OF STABLE APPEARANCE OF TWO LEFT SIDED CHEST
TUBES, RIGHT INTERNAL JUGULAR LINE.
2. INTERVAL IMPROVEMENT OF AERATION TO THE LEFT LUNG BASE WITH
DECREASE IN LEFT SIDED PLEURAL EFFUSION, OTHERWISE
CARDIOMEDIASTINAL SILHOUETTE IS STABLE WITH CLEAR RIGHT LUNGS.
END OF IMPRESSION:
SUMMARY 2: ABNORMAL, PREVIOUSLY REPORTED.
I have personally reviewed the images for this examination and agree
with the report transcribed above.
By: SANMARCO, ZAIDEN  on: 9/26/2006
ACCESSION NUMBER:
F1-05-97-r9-12-1u
This report has been anonymized. All dates are offset from the actual dates by a fixed interval associated with the patient.</x:v>
      </x:c>
      <x:c r="G115" s="28" t="str">
        <x:v>Stable</x:v>
      </x:c>
      <x:c r="H115" s="29" t="str"/>
      <x:c r="I115" s="29" t="str"/>
      <x:c r="J115" s="29" t="str"/>
      <x:c r="K115" s="30"/>
      <x:c r="L115" s="29" t="str"/>
      <x:c r="M115" s="31" t="str">
        <x:f>IF(H115="","待填写标签",IF(AND(H115="Unusable",I115=""),"需填写不可用原因",IF(J115="","需填写审核人",IF(K115="","需填写日期","完成"))))</x:f>
        <x:v>待填写标签</x:v>
      </x:c>
    </x:row>
    <x:row r="116" ht="72" customHeight="1">
      <x:c r="A116" s="25" t="n">
        <x:v>115</x:v>
      </x:c>
      <x:c r="B116" s="26" t="str">
        <x:v>review_0021</x:v>
      </x:c>
      <x:c r="C116" s="26" t="str">
        <x:v>chexpert_plus</x:v>
      </x:c>
      <x:c r="D116" s="27" t="str">
        <x:v>Pleural Effusion</x:v>
      </x:c>
      <x:c r="E116" s="27" t="str">
        <x:v>NARRATIVE:
Chest 1 View 9/21/2011
CLINICAL HISTORY:  69 years-old Male. Postop 
COMPARISON: september 21
FINDINGS:
Single portable supine view of the chest dated 9-2011 at 1629 
hours demonstrates interval placement of an endotracheal tube, with 
its tip approximately 1.5 cm above the carina.  There also is 
interval placement of multiple sternotomy wires, a right internal 
jugular approach Swan-Ganz catheter, and additional right internal 
jugular catheter, left-sided chest tubes, and a mediastinal drain 
compared to the prior exam.  The tip of the right internal jugular 
approach Swan-Ganz catheter appears to project over the region of the 
main pulmonary artery.  There also is interval placement of 
epicardial pacer is compared to the prior exam.  There has been 
interval development of left lung base opacity compared to the prior 
exam, which may represent atelectasis, consolidation, or aspiration.  
Right lung is clear.
Single portable view of the chest dated 9-21-2011 at 0349 hours 
demonstrates stable positioning of the previously described lines, 
tubes, and support equipment compared to the prior exam.  There has 
been no significant interval change compared to the prior exam, with 
similar demonstration of left base opacity.  
IMPRESSION:
1.INTERVAL PLACEMENT OF SUPPORT EQUIPMENT, LOCATED AS DESCRIBED ABOVE.
2.INTERVAL DEVELOPMENT OF LEFT LUNG BASE OPACITY, WHICH MAY REPRESENT 
ATELECTASIS, CONSOLIDATION, OR ASPIRATION.
SUMMARY:4-POSSIBLY SIGNIFICANT FINDING, MAY NEED ACTION
I have personally reviewed the images for this examination and agreed
with the report transcribed above.
ACCESSION NUMBER:
#H-O-G-H-V-X-X-G
This report has been anonymized. All dates are offset from the actual dates by a fixed interval associated with the patient.</x:v>
      </x:c>
      <x:c r="F116" s="27" t="str">
        <x:v>NARRATIVE:
Chest 2 Views 4/18/2015
CLINICAL HISTORY:  69 years-old Male. Post-op eval. 
COMPARISON: 4/18/2015 
IMPRESSION:
1.FRONTAL AND LATERAL VIEWS OF THE CHEST DEMONSTRATE INTERVAL REMOVAL 
OF THE PREVIOUSLY IDENTIFIED RIGHT INTERNAL JUGULAR CATHETER SHEATH 
COMPARED TO THE PRIOR EXAM.  THERE ALSO HAS BEEN INTERVAL REMOVAL OF 
THE PREVIOUS IDENTIFIED MEDIASTINAL DRAIN COMPARED TO THE PRIOR EXAM.
2.THE REMAINDER OF THE PREVIOUSLY DESCRIBED Lines, tubes, AND 
POSTSURGICAL MATERIALS ARE STABLE IN POSITION COMPARED TO THE PRIOR 
EXAM.
3.STABLE REDEMONSTRATION OF MILD CARDIOMEGALY.
4.INTERVAL DECREASE IN BILATERAL INTERSTITIAL PULMONARY EDEMA 
COMPARED TO THE PRIOR EXAM, WITH AN ASSOCIATED INTERVAL INCREASE IN 
BILATERAL LUNG VOLUMES COMPARED TO THE PRIOR EXAM.
5.INTERVAL DECREASE IN RETROCARDIAC OPACITY COMPARED TO PRIOR EXAM.
6.STABLE SMALL BILATERAL PLEURAL EFFUSIONS. 
SUMMARY:4-POSSIBLY SIGNIFICANT FINDING, MAY NEED ACTION
I have personally reviewed the images for this examination and agreed
with the report transcribed above.
ACCESSION NUMBER:
802u.l5sp.2c66.b
This report has been anonymized. All dates are offset from the actual dates by a fixed interval associated with the patient.</x:v>
      </x:c>
      <x:c r="G116" s="28" t="str">
        <x:v>Stable</x:v>
      </x:c>
      <x:c r="H116" s="29" t="str"/>
      <x:c r="I116" s="29" t="str"/>
      <x:c r="J116" s="29" t="str"/>
      <x:c r="K116" s="30"/>
      <x:c r="L116" s="29" t="str"/>
      <x:c r="M116" s="31" t="str">
        <x:f>IF(H116="","待填写标签",IF(AND(H116="Unusable",I116=""),"需填写不可用原因",IF(J116="","需填写审核人",IF(K116="","需填写日期","完成"))))</x:f>
        <x:v>待填写标签</x:v>
      </x:c>
    </x:row>
    <x:row r="117" ht="72" customHeight="1">
      <x:c r="A117" s="25" t="n">
        <x:v>116</x:v>
      </x:c>
      <x:c r="B117" s="26" t="str">
        <x:v>review_0031</x:v>
      </x:c>
      <x:c r="C117" s="26" t="str">
        <x:v>mimic_cxr_jpg</x:v>
      </x:c>
      <x:c r="D117" s="27" t="str">
        <x:v>Edema</x:v>
      </x:c>
      <x:c r="E117" s="27" t="str">
        <x:v>FINAL REPORT
 EXAMINATION:  CHEST (PORTABLE AP)
 INDICATION:  ___ year old man with replaced NGT  // ? confirm placement for
 tube feeds - tube replaced AM ___
 TECHNIQUE:  Single frontal view of the chest
 COMPARISON:   Study performed 8 hr earlier
 IMPRESSION: 
 NG tube is not visualized. No other interval change from prior study.</x:v>
      </x:c>
      <x:c r="F117" s="27" t="str">
        <x:v>FINAL REPORT
 EXAMINATION:  CHEST (PORTABLE AP)
 INDICATION:  ___ year old man with new bridled Dobhoff placed at 10am on ___.
 TECHNIQUE:  Single frontal view of the chest
 COMPARISON:  Study performed 3 hr earlier
 IMPRESSION: 
 Dobhoff tube tip isin the stomach. Vascular congestion has markedly improved. 
 No other interval change from prior study.</x:v>
      </x:c>
      <x:c r="G117" s="28" t="str">
        <x:v>Improved</x:v>
      </x:c>
      <x:c r="H117" s="29" t="str"/>
      <x:c r="I117" s="29" t="str"/>
      <x:c r="J117" s="29" t="str"/>
      <x:c r="K117" s="30"/>
      <x:c r="L117" s="29" t="str"/>
      <x:c r="M117" s="31" t="str">
        <x:f>IF(H117="","待填写标签",IF(AND(H117="Unusable",I117=""),"需填写不可用原因",IF(J117="","需填写审核人",IF(K117="","需填写日期","完成"))))</x:f>
        <x:v>待填写标签</x:v>
      </x:c>
    </x:row>
    <x:row r="118" ht="72" customHeight="1">
      <x:c r="A118" s="25" t="n">
        <x:v>117</x:v>
      </x:c>
      <x:c r="B118" s="26" t="str">
        <x:v>review_0108</x:v>
      </x:c>
      <x:c r="C118" s="26" t="str">
        <x:v>mimic_cxr_jpg</x:v>
      </x:c>
      <x:c r="D118" s="27" t="str">
        <x:v>Edema</x:v>
      </x:c>
      <x:c r="E118" s="27" t="str">
        <x:v>FINAL REPORT
 EXAMINATION:  CHEST (PORTABLE AP)
 INDICATION:  ___F hx of NSTEMI, ___, UTI, CHF with apical thrombus and right
 MCA/ICA embolic stroke now s/p mechanical thrombectomy  // ? pulm edema     ?
 pulm edema
 COMPARISON:  Chest radiograph ___.
 IMPRESSION: 
 Moderate bilateral pleural effusions have increased since ___. 
 Cardiac silhouette is large, partially obscured by high diaphragm. 
 Mediastinal and pulmonary vasculature mildly engorged, but probably no
 pulmonary edema.  No pneumothorax.</x:v>
      </x:c>
      <x:c r="F118" s="27" t="str">
        <x:v>FINAL REPORT
 EXAMINATION:  CHEST (PORTABLE AP)
 INDICATION:  ___ year old woman with SOB in the setting of CHF  // ? pulmonary
 edema
 IMPRESSION: 
 Since the previous radiograph from earlier the same date, moderate bilateral
 pleural effusions have apparently slightly increased in size and are
 accompanied by worsening pulmonary vascular congestion.  No other relevant
 changes.</x:v>
      </x:c>
      <x:c r="G118" s="28" t="str">
        <x:v>New</x:v>
      </x:c>
      <x:c r="H118" s="29" t="str"/>
      <x:c r="I118" s="29" t="str"/>
      <x:c r="J118" s="29" t="str"/>
      <x:c r="K118" s="30"/>
      <x:c r="L118" s="29" t="str"/>
      <x:c r="M118" s="31" t="str">
        <x:f>IF(H118="","待填写标签",IF(AND(H118="Unusable",I118=""),"需填写不可用原因",IF(J118="","需填写审核人",IF(K118="","需填写日期","完成"))))</x:f>
        <x:v>待填写标签</x:v>
      </x:c>
    </x:row>
    <x:row r="119" ht="72" customHeight="1">
      <x:c r="A119" s="25" t="n">
        <x:v>118</x:v>
      </x:c>
      <x:c r="B119" s="26" t="str">
        <x:v>review_0109</x:v>
      </x:c>
      <x:c r="C119" s="26" t="str">
        <x:v>mimic_cxr_jpg</x:v>
      </x:c>
      <x:c r="D119" s="27" t="str">
        <x:v>Cardiomegaly</x:v>
      </x:c>
      <x:c r="E119" s="27" t="str">
        <x:v>FINAL REPORT
 CHEST RADIOGRAPH
 INDICATION:  Sigmoid colectomy, rule out pneumonia.
 COMPARISON:  ___.
 FINDINGS:  As compared to the previous radiograph, there is unchanged mild
 cardiomegaly but no evidence of pneumonia or other infectious change.  No
 pulmonary edema.  No larger pleural effusions.  No pneumothorax.  On today's
 image, there is a minimal contour abnormality in apical and right
 paramediastinal location, likely caused by either soft tissues outside the
 lung or by a tortuous brachiocephalic trunk.</x:v>
      </x:c>
      <x:c r="F119" s="27" t="str">
        <x:v>FINAL REPORT
 HISTORY:  Postoperative fever after laparoscopic colectomy.
 TECHNIQUE:  PA and lateral views of the chest.
 COMPARISON:  ___.
 FINDINGS:
 Mild enlargement of the cardiac silhouette is unchanged.  The mediastinal and
 hilar contours are normal.  Lungs are clear and the pulmonary vasculature is
 normal.  No pleural effusion or pneumothorax is seen.  No acute osseous
 abnormalities demonstrated.
 IMPRESSION:
 No acute cardiopulmonary process.</x:v>
      </x:c>
      <x:c r="G119" s="28" t="str">
        <x:v>Stable</x:v>
      </x:c>
      <x:c r="H119" s="29" t="str"/>
      <x:c r="I119" s="29" t="str"/>
      <x:c r="J119" s="29" t="str"/>
      <x:c r="K119" s="30"/>
      <x:c r="L119" s="29" t="str"/>
      <x:c r="M119" s="31" t="str">
        <x:f>IF(H119="","待填写标签",IF(AND(H119="Unusable",I119=""),"需填写不可用原因",IF(J119="","需填写审核人",IF(K119="","需填写日期","完成"))))</x:f>
        <x:v>待填写标签</x:v>
      </x:c>
    </x:row>
    <x:row r="120" ht="72" customHeight="1">
      <x:c r="A120" s="25" t="n">
        <x:v>119</x:v>
      </x:c>
      <x:c r="B120" s="26" t="str">
        <x:v>review_0221</x:v>
      </x:c>
      <x:c r="C120" s="26" t="str">
        <x:v>mimic_cxr_jpg</x:v>
      </x:c>
      <x:c r="D120" s="27" t="str">
        <x:v>Edema</x:v>
      </x:c>
      <x:c r="E120" s="27" t="str">
        <x:v>FINAL REPORT
 CHEST RADIOGRAPH
 INDICATION:  Bilateral pleural effusions, evaluation for pigtail catheter.
 COMPARISON:  ___.
 FINDINGS:  As compared to the previous radiograph, the lung volumes have
 decreased.  There is a minimal atelectasis at the right lung bases that can be
 explained by lower lung volumes.  The position of the left pigtail catheter is
 constant.  Constant appearance of the cardiac silhouette, constant position of
 the aortic stent graft.</x:v>
      </x:c>
      <x:c r="F120" s="27" t="str">
        <x:v>FINAL REPORT
 AP CHEST, 11:07 A.M., ___
 HISTORY:  A ___-year-old man after aortic graft, with bilateral pleural
 effusions and pigtail catheters.  Right tube removed.
 IMPRESSION:  AP chest compared to ___, 9:10 a.m.:
 If there is any right pneumothorax or pleural effusion, each is minimal.  Mild
 edema seen earlier today has cleared, but there is still consolidation at the
 right lung base medially.  The abnormal contour of the descending thoracic
 aorta and the aortic graft are stable.  Heart is normal size.  Very small left
 pleural effusion is now evident.</x:v>
      </x:c>
      <x:c r="G120" s="28" t="str">
        <x:v>Resolved</x:v>
      </x:c>
      <x:c r="H120" s="29" t="str"/>
      <x:c r="I120" s="29" t="str"/>
      <x:c r="J120" s="29" t="str"/>
      <x:c r="K120" s="30"/>
      <x:c r="L120" s="29" t="str"/>
      <x:c r="M120" s="31" t="str">
        <x:f>IF(H120="","待填写标签",IF(AND(H120="Unusable",I120=""),"需填写不可用原因",IF(J120="","需填写审核人",IF(K120="","需填写日期","完成"))))</x:f>
        <x:v>待填写标签</x:v>
      </x:c>
    </x:row>
    <x:row r="121" ht="72" customHeight="1">
      <x:c r="A121" s="25" t="n">
        <x:v>120</x:v>
      </x:c>
      <x:c r="B121" s="26" t="str">
        <x:v>review_0199</x:v>
      </x:c>
      <x:c r="C121" s="26" t="str">
        <x:v>mimic_cxr_jpg</x:v>
      </x:c>
      <x:c r="D121" s="27" t="str">
        <x:v>Edema</x:v>
      </x:c>
      <x:c r="E121" s="27" t="str">
        <x:v>FINAL REPORT
 PATIENT HISTORY:  ___ years old woman, hospital day 2, pedestrian versus car,
 intubated at scene, b/l coarse rhonchi, evaluate interval changes, evidence of
 aspiration.
 COMPARISON:  Exam is compared to chest x-ray of ___.
 FINDINGS:  All the monitoring devices are unchanged and in standard positions.
 There is no evidence of consolidation suspicious for pneumonia.  There is no
 pleural effusion or pneumothorax.  There is a minimal increase of the
 diameters of vascular structures that might be due to vascular congestion in
 the appropriate clinical setting.  Cardiomediastinal silhouette is unchanged.
 IMPRESSION:  No sign of pneumonia.  Minimal vascular congestion if clinically
 correlated with fluid therapy.</x:v>
      </x:c>
      <x:c r="F121" s="27" t="str">
        <x:v>FINAL REPORT
 PORTABLE SUPINE CHEST OF ___
 COMPARISON:  ___ radiograph.
 FINDINGS:  Interval removal of endotracheal tube and nasogastric tube. 
 Increased interval width of cardiomediastinal contours including the azygos
 vein and vascular pedicle, accompanied by worsening pulmonary vascular
 congestion.  Increasing perihilar haziness and development of asymmetrical
 right perihilar alveolar opacity; the latter may reflect asymmetrical edema,
 but aspiration and infectious pneumonia are important additional
 considerations given the clinical suspicion for these entities.  Short-term
 followup radiographs after diuresis may be helpful in this regard.</x:v>
      </x:c>
      <x:c r="G121" s="28" t="str">
        <x:v>Worse</x:v>
      </x:c>
      <x:c r="H121" s="29" t="str"/>
      <x:c r="I121" s="29" t="str"/>
      <x:c r="J121" s="29" t="str"/>
      <x:c r="K121" s="30"/>
      <x:c r="L121" s="29" t="str"/>
      <x:c r="M121" s="31" t="str">
        <x:f>IF(H121="","待填写标签",IF(AND(H121="Unusable",I121=""),"需填写不可用原因",IF(J121="","需填写审核人",IF(K121="","需填写日期","完成"))))</x:f>
        <x:v>待填写标签</x:v>
      </x:c>
    </x:row>
    <x:row r="122" ht="72" customHeight="1">
      <x:c r="A122" s="25" t="n">
        <x:v>121</x:v>
      </x:c>
      <x:c r="B122" s="26" t="str">
        <x:v>review_0186</x:v>
      </x:c>
      <x:c r="C122" s="26" t="str">
        <x:v>chexpert_plus</x:v>
      </x:c>
      <x:c r="D122" s="27" t="str">
        <x:v>Pleural Effusion</x:v>
      </x:c>
      <x:c r="E122" s="27" t="str">
        <x:v>NARRATIVE:
****I COULD NOT UNDERSTAND THIS WORD***
CHEST TWO VIEWS: 4/22/2007
COMPARISON: 4/22/2007.
CLINICAL HISTORY: Check lung fields.
FINDINGS: A broad round back deformity of the thoracic spine with
mild degenerative changes stable. Marked increase in AP diameter
of the thorax *****. The heart remains moderately dilated. The
aortic is calcified and ectatic and tortuous but no obvious
aneurysm defined. No pulmonary vascular congestion. The right
costophrenic angle is blunted due to a small pleural effusion.
This is stable. There has been interval re-expansion of discoid
atelectasis from the right lung base. No new lung disease masses
or adenopathy.
IMPRESSION:
1. CARDIOMEGALY AND ATHEROSCLEROTIC CHANGES IN THE AORTA, STABLE.
NO SIGN OF CONGESTION.
2. STABLE, SMALL, RIGHT, PLEURAL EFFUSION.
3. INTERVAL RE-EXPANSION OF RIGHT BASILAR DISCOID ATELECTASIS.
END OF IMPRESSION.
ACCESSION NUMBER:
94761236
This report has been anonymized. All dates are offset from the actual dates by a fixed interval associated with the patient.</x:v>
      </x:c>
      <x:c r="F122" s="27" t="str">
        <x:v>NARRATIVE:
PORTABLE CHEST RADIOGRAPH ONE VIEW:  2010 October 17 AT 1021 HOURS.
CLINICAL DATA:  A 95 year old female, evaluate for pulmonary
infection.
COMPARISON:  10/17/2010.
TECHNIQUE:  Portable AP semi-erect view of the chest.
IMPRESSION:
1.  STABLE REDEMONSTRATION OF MARKED CARDIOMEGALY WITH SPLAYING OF
THE MAINSTEM BRONCHI, AS WELL AS CALCIFICATION AND TORTUOSITY OF THE
THORACIC AORTA.
2.  INTERVAL DEVELOPMENT OF BILATERAL PLEURAL EFFUSIONS AND
INTERSTITIAL PULMONARY EDEMA.
3.  BRONCHIECTASIS, UNCHANGED.
4.  SMALL OSSIFIC DENSITY INFEROMEDIAL TO THE RIGHT HUMERAL HEAD, MAY
BE SECONDARY TO REMOTE TRAUMA.
END OF IMPRESSION:
SUMMARY:4-POSSIBLE SIGNIFICANT FINDINGS, MAY NEED ACTION
I have personally reviewed the images for this examination and agreed
with the report transcribed above.
ACCESSION NUMBER:
82555849343
This report has been anonymized. All dates are offset from the actual dates by a fixed interval associated with the patient.</x:v>
      </x:c>
      <x:c r="G122" s="28" t="str">
        <x:v>Worse</x:v>
      </x:c>
      <x:c r="H122" s="29" t="str"/>
      <x:c r="I122" s="29" t="str"/>
      <x:c r="J122" s="29" t="str"/>
      <x:c r="K122" s="30"/>
      <x:c r="L122" s="29" t="str"/>
      <x:c r="M122" s="31" t="str">
        <x:f>IF(H122="","待填写标签",IF(AND(H122="Unusable",I122=""),"需填写不可用原因",IF(J122="","需填写审核人",IF(K122="","需填写日期","完成"))))</x:f>
        <x:v>待填写标签</x:v>
      </x:c>
    </x:row>
    <x:row r="123" ht="72" customHeight="1">
      <x:c r="A123" s="25" t="n">
        <x:v>122</x:v>
      </x:c>
      <x:c r="B123" s="26" t="str">
        <x:v>review_0203</x:v>
      </x:c>
      <x:c r="C123" s="26" t="str">
        <x:v>chexpert_plus</x:v>
      </x:c>
      <x:c r="D123" s="27" t="str">
        <x:v>Edema</x:v>
      </x:c>
      <x:c r="E123" s="27" t="str">
        <x:v>NARRATIVE:
EXAM: Chest 1 View, 2/26/2015
HISTORY: Fall.
FINDINGS: 
Exam includes: AP chest radiograph.  The cardiac silhouette is 
enlarged.  The pulmonary vascularity is mildly prominent, however, in 
contrast to prior exams there is a more confluent region in the right 
upper lung zone, recommend clinical correlation.
IMPRESSION:
1.PROMINENT RETICULATION WHICH MAY REFLECT MILD EDEMA, WITH MORE 
CONFLUENT AREAS PERIPHERALLY ESPECIALLY IN THE RIGHT UPPER LUNG ZONE 
MAY REPRESENT INFECTION, CORRELATE CLINICALLY.
SUMMARY:4-POSSIBLY SIGNIFICANT FINDING, MAY NEED ACTION
ACCESSION NUMBER:
32_22
This report has been anonymized. All dates are offset from the actual dates by a fixed interval associated with the patient.</x:v>
      </x:c>
      <x:c r="F123" s="27" t="str">
        <x:v>NARRATIVE:
Chest 1 View 10-29-2013
CLINICAL HISTORY:  Female, 118 year old-old; Hypoxia, line placement.
COMPARISON: 10-29-2013
IMPRESSION:
1.SEMIUPRIGHT FRONTAL VIEW OF THE CHEST DEMONSTRATES INTERVAL 
PLACEMENT OF A NEW RIGHT-SIDED IJ CATHETER, WHICH TERMINATES IN THE 
SUPERIOR MOST SVC.
2.NO PNEUMOTHORAX IS PRESENT.
3.MILDLY IMPROVED EDEMA SUPERIMPOSED UPON UNDERLYING COPD. THERE MAY 
BE A SMALL LEFT SIDED PLEURAL EFFUSION.
SUMMARY 2: ABNORMAL, PREVIOUSLY REPORTED.
I have personally reviewed the images for this examination and agreed
with the report transcribed above.
ACCESSION NUMBER:
74-03-13-50-0
This report has been anonymized. All dates are offset from the actual dates by a fixed interval associated with the patient.</x:v>
      </x:c>
      <x:c r="G123" s="28" t="str">
        <x:v>Improved</x:v>
      </x:c>
      <x:c r="H123" s="29" t="str"/>
      <x:c r="I123" s="29" t="str"/>
      <x:c r="J123" s="29" t="str"/>
      <x:c r="K123" s="30"/>
      <x:c r="L123" s="29" t="str"/>
      <x:c r="M123" s="31" t="str">
        <x:f>IF(H123="","待填写标签",IF(AND(H123="Unusable",I123=""),"需填写不可用原因",IF(J123="","需填写审核人",IF(K123="","需填写日期","完成"))))</x:f>
        <x:v>待填写标签</x:v>
      </x:c>
    </x:row>
    <x:row r="124" ht="72" customHeight="1">
      <x:c r="A124" s="25" t="n">
        <x:v>123</x:v>
      </x:c>
      <x:c r="B124" s="26" t="str">
        <x:v>review_0154</x:v>
      </x:c>
      <x:c r="C124" s="26" t="str">
        <x:v>mimic_cxr_jpg</x:v>
      </x:c>
      <x:c r="D124" s="27" t="str">
        <x:v>Edema</x:v>
      </x:c>
      <x:c r="E124" s="27" t="str">
        <x:v>FINAL REPORT
 PORTABLE CHEST FILM, ___ AT 6:10 A.M.
 CLINICAL INDICATION:  ___-year-old with nasogastric tube placement, check
 position.
 Comparison is made to the patient's prior study of ___ at 16:47.
 Portable AP upright chest film ___ at 6:11 is submitted.
 IMPRESSION:
 1.  Single lead left-sided pacer remains in place with the lead terminating
 over the expected location of the right ventricle.  Tracheostomy tube remains
 in satisfactory position.  Portion of nasogastric tube is seen with the tip
 projecting in the mid-distal esophagus.  Repositioning would be recommended
 with advancement by at least 14cm.  The patient is status post median
 sternotomy with an aortic graft in place.  The heart remains enlarged.  Lung
 volumes are low with patchy opacities at both bases likely reflecting areas of
 atelectasis.  Probable small left effusion.  Crowding of the vasculature with
 no overt pulmonary edema.  No pneumothorax.  Results were communicated to the
 patient's nurse ___ by phone on ___ at 10:02 a.m. at the time of
 discovery.</x:v>
      </x:c>
      <x:c r="F124" s="27" t="str">
        <x:v>FINAL REPORT
 PORTABLE CHEST, ___ AT 11:11.
 CLINICAL INDICATION:  ___-year-old with advancement of nasogastric tube, check
 position.
 Comparison to prior study of ___ at 6:10 a.m.
 Portable semi-supine AP chest film was obtained on ___ at 11:11.
 IMPRESSION:
 1.  The nasogastric tube now courses below the diaphragm with the tip
 projecting over the stomach.  Tracheostomy tube, left internal jugular central
 line and single lead left-sided pacer are unchanged in position.  Overall
 cardiac and mediastinal contours are stably enlarged.  There is increasing
 indistinctness of the pulmonary vascularity, likely representing worsening
 pulmonary edema.  Persistent bibasilar patchy opacities with associated small
 effusions suggestive of compressive atelectasis.  The tracheostomy tube is
 unchanged in position.  The patient is status post median sternotomy with an
 aortic graft remaining in place.</x:v>
      </x:c>
      <x:c r="G124" s="28" t="str">
        <x:v>New</x:v>
      </x:c>
      <x:c r="H124" s="29" t="str"/>
      <x:c r="I124" s="29" t="str"/>
      <x:c r="J124" s="29" t="str"/>
      <x:c r="K124" s="30"/>
      <x:c r="L124" s="29" t="str"/>
      <x:c r="M124" s="31" t="str">
        <x:f>IF(H124="","待填写标签",IF(AND(H124="Unusable",I124=""),"需填写不可用原因",IF(J124="","需填写审核人",IF(K124="","需填写日期","完成"))))</x:f>
        <x:v>待填写标签</x:v>
      </x:c>
    </x:row>
    <x:row r="125" ht="72" customHeight="1">
      <x:c r="A125" s="25" t="n">
        <x:v>124</x:v>
      </x:c>
      <x:c r="B125" s="26" t="str">
        <x:v>review_0012</x:v>
      </x:c>
      <x:c r="C125" s="26" t="str">
        <x:v>chexpert_plus</x:v>
      </x:c>
      <x:c r="D125" s="27" t="str">
        <x:v>Edema</x:v>
      </x:c>
      <x:c r="E125" s="27" t="str">
        <x:v>NARRATIVE:
EXAM: Chest 2 Views, 2/27/2014
CLINICAL HISTORY: S/P ICD/Pacemaker insertion
COMPARISON: 2/27/2014
IMPRESSION:
1.REDEMONSTRATION OF A LEFT SIDED 3-LEAD ICD IN PLACE.  
REDEMONSTRATION OF A DOUBLE CONTOUR AT THE LEFT APEX WHICH OVERLIES 
THE SUPERIOR ANGLE OF THE LEFT SCAPULA.  THIS MAY COLOR SMALL 
PNEUMOTHORAX.  ATTENTION TO FOLLOW.
2.STABLE CARDIOMEGALY AND MILD EDEMA.
SUMMARY:4-POSSIBLY SIGNIFICANT FINDING, MAY NEED ACTION
ACCESSION NUMBER:
77887429
This report has been anonymized. All dates are offset from the actual dates by a fixed interval associated with the patient.</x:v>
      </x:c>
      <x:c r="F125" s="27" t="str">
        <x:v>NARRATIVE:
RADIOGRAPHIC EXAMINATION OF THE CHEST: 12/7/2018
CLINICAL HISTORY: 54 years of age, Male, Intubated.
COMPARISON: 3/6/2013 
PROCEDURE COMMENTS: Single view of the chest. 
FINDINGS:
Single, portable, semierect view of the chest demonstrates the 
Heartware LVAD, biventricular pacer, median sternotomy wires, right 
IJ central venous catheter, left IJ Swan-Ganz catheter, and 2 
thoracic drains in unchanged position. There is been interval removal 
of the endotracheal tube and nasogastric tube. There is stable 
enlarged cardiac silhouette, with increasing right basilar opacity. 
There is slight decrease in retrocardiac opacity. There is decreasing 
mild pulmonary edema.
IMPRESSION:
1.  Interval extubation, with increasing right basilar opacity, 
though decreasing retrocardiac opacity and pulmonary edema.
I have personally reviewed the images for this examination and agreed
with the report transcribed above.
ACCESSION NUMBER:
25212131
This report has been anonymized. All dates are offset from the actual dates by a fixed interval associated with the patient.</x:v>
      </x:c>
      <x:c r="G125" s="28" t="str">
        <x:v>Improved</x:v>
      </x:c>
      <x:c r="H125" s="29" t="str"/>
      <x:c r="I125" s="29" t="str"/>
      <x:c r="J125" s="29" t="str"/>
      <x:c r="K125" s="30"/>
      <x:c r="L125" s="29" t="str"/>
      <x:c r="M125" s="31" t="str">
        <x:f>IF(H125="","待填写标签",IF(AND(H125="Unusable",I125=""),"需填写不可用原因",IF(J125="","需填写审核人",IF(K125="","需填写日期","完成"))))</x:f>
        <x:v>待填写标签</x:v>
      </x:c>
    </x:row>
    <x:row r="126" ht="72" customHeight="1">
      <x:c r="A126" s="25" t="n">
        <x:v>125</x:v>
      </x:c>
      <x:c r="B126" s="26" t="str">
        <x:v>review_0228</x:v>
      </x:c>
      <x:c r="C126" s="26" t="str">
        <x:v>mimic_cxr_jpg</x:v>
      </x:c>
      <x:c r="D126" s="27" t="str">
        <x:v>Atelectasis</x:v>
      </x:c>
      <x:c r="E126" s="27" t="str">
        <x:v>FINAL REPORT
 PORTABLE CHEST, ___:
 COMPARISON:  Radiograph ___.
 FINDINGS:  Indwelling support and monitoring devices are unchanged in
 position.  Cardiomediastinal contours are stable in appearance.  Severe upper
 lobe predominant emphysema is again demonstrated.  New linear opacities have
 developed in the right mid and both lower lungs, most consistent with areas of
 subsegmental atelectasis.  Otherwise, no relevant change since the recent
 study.  A feeding tube remains in place, with slightly more proximal location
 than before.  The proximal portion of the radiodense tip is likely proximal to
 the gastroesophageal junction and could be advanced a few centimeters for
 standard positioning.</x:v>
      </x:c>
      <x:c r="F126" s="27" t="str">
        <x:v>FINAL REPORT
 CHEST RADIOGRAPH
 INDICATION:  Evaluation for interval change.
 COMPARISON:  ___.
 FINDINGS:  As compared to previous radiograph, small atelectasis at the upper
 aspect of the middle lobe is completely resolved.  Normal appearance of the
 lung parenchyma, except for the known areas of hyperlucency in both lung
 apices.  Normal appearance of the cardiac silhouette.  Normal hilar and
 mediastinal structures.</x:v>
      </x:c>
      <x:c r="G126" s="28" t="str">
        <x:v>Resolved</x:v>
      </x:c>
      <x:c r="H126" s="29" t="str"/>
      <x:c r="I126" s="29" t="str"/>
      <x:c r="J126" s="29" t="str"/>
      <x:c r="K126" s="30"/>
      <x:c r="L126" s="29" t="str"/>
      <x:c r="M126" s="31" t="str">
        <x:f>IF(H126="","待填写标签",IF(AND(H126="Unusable",I126=""),"需填写不可用原因",IF(J126="","需填写审核人",IF(K126="","需填写日期","完成"))))</x:f>
        <x:v>待填写标签</x:v>
      </x:c>
    </x:row>
    <x:row r="127" ht="72" customHeight="1">
      <x:c r="A127" s="25" t="n">
        <x:v>126</x:v>
      </x:c>
      <x:c r="B127" s="26" t="str">
        <x:v>review_0153</x:v>
      </x:c>
      <x:c r="C127" s="26" t="str">
        <x:v>chexpert_plus</x:v>
      </x:c>
      <x:c r="D127" s="27" t="str">
        <x:v>Edema</x:v>
      </x:c>
      <x:c r="E127" s="27" t="str">
        <x:v>NARRATIVE:
RADIOGRAPHIC EXAMINATION OF THE CHEST: 7/5/2015
CLINICAL HISTORY: 26 years of age, Male, atelectasis.
COMPARISON: Chest radiograph dated 7-5-2015
PROCEDURE COMMENTS: Single view of the chest. 
FINDINGS:
There has been interval removal of a defibrillator pad. There is redemonstration of 3 chest tubes, a right IJ central line, and epicardial pacing leads, all unchanged in position. There is redemonstration of an enteric tube terminating in the midesophagus. The endotracheal tube is been retracted and now terminates 2 to 3 cm above the carina.
There is an mild interval volume loss in the left hemithorax, with associated mild opacification of the lung parenchyma, most consistent with atelectasis. Mild pulmonary edema is noted. No pneumothorax is seen.
The known vertebral body compression deformities are not well characterized on today's film. No new bony abnormalities are noted.
There is redemonstration of mild cardiomegaly, with overlying sternotomy wires and mediastinal clips. Skin staples are noted projecting over the midline.
IMPRESSION:
1.  Relative to the comparison, the endotracheal tube is now well-positioned.
2.  An enteric tube terminates in the midesophagus.
3.  Interval volume loss in the left hemithorax, consistent with increasing atelectasis.
4.  Persistent mild pulmonary edema.
Dictated by Resident: Daxton Tanner, MD - 7/5/2015
Interpreted by Attending Radiologist: BURCH, MIRACLE - 7/5/15
I, the attending signed below, have personally reviewed the images and agree with the report transcribed above.
Interpreted by Attending Radiologist: burch, miracle
Authored By    : Burch, Miracle
Approval Date : 7/5/2015
ACCESSION NUMBER:
#59
This report has been anonymized. All dates are offset from the actual dates by a fixed interval associated with the patient.</x:v>
      </x:c>
      <x:c r="F127" s="27" t="str">
        <x:v>NARRATIVE:
RADIOGRAPHIC EXAMINATION OF THE CHEST: 2-2-2014
CLINICAL HISTORY: 26 years of age, Male, pulmonary edema.
COMPARISON: Radiograph from 2/2/2014
PROCEDURE COMMENTS: Single view of the chest. 
FINDINGS:
Enteric tube remains in the midesophagus. ET tube is in the midthoracic trachea. Right IJ central line is in the upper SVC. 3 chest tubes remain in place.
Interval increase in left lower lobe atelectasis with poorly visualized left hemidiaphragm. Cardiomegaly with mild perivascular edema.
IMPRESSION:
1.  Enteric tube remains in the midesophagus. Suggest repositioning (this was removed by CVICU team).
2.  Interval increase in left lower lobe atelectasis.
3.  Cardiomegaly with mild perivascular edema, slightly improved since prior.
Findings discussed with the CVICU team, marley, pa-c. 
Dictated by Resident: Logan Kaia, PA-C - 2/2/2014
Interpreted by Attending Radiologist: Kaufman, Andrea - 2/2/2014
I, the attending signed below, have personally reviewed the images and agree with the report transcribed above.
Interpreted by Attending Radiologist: Andrea, Kaufman
Authored By    : kaufman, andrea
Approval Date : 2/2/2014
ACCESSION NUMBER:
UJ3C3OBC
This report has been anonymized. All dates are offset from the actual dates by a fixed interval associated with the patient.</x:v>
      </x:c>
      <x:c r="G127" s="28" t="str">
        <x:v>Improved</x:v>
      </x:c>
      <x:c r="H127" s="29" t="str"/>
      <x:c r="I127" s="29" t="str"/>
      <x:c r="J127" s="29" t="str"/>
      <x:c r="K127" s="30"/>
      <x:c r="L127" s="29" t="str"/>
      <x:c r="M127" s="31" t="str">
        <x:f>IF(H127="","待填写标签",IF(AND(H127="Unusable",I127=""),"需填写不可用原因",IF(J127="","需填写审核人",IF(K127="","需填写日期","完成"))))</x:f>
        <x:v>待填写标签</x:v>
      </x:c>
    </x:row>
    <x:row r="128" ht="72" customHeight="1">
      <x:c r="A128" s="25" t="n">
        <x:v>127</x:v>
      </x:c>
      <x:c r="B128" s="26" t="str">
        <x:v>review_0231</x:v>
      </x:c>
      <x:c r="C128" s="26" t="str">
        <x:v>mimic_cxr_jpg</x:v>
      </x:c>
      <x:c r="D128" s="27" t="str">
        <x:v>Edema</x:v>
      </x:c>
      <x:c r="E128" s="27" t="str">
        <x:v>FINAL REPORT
 EXAMINATION:  CHEST (PA AND LAT)
 INDICATION:  History: ___F with leukocytosis and lethargy, headaches  // eval
 for pneumonia
 COMPARISON:  Chest radiographs ___
 FINDINGS: 
 AP upright and lateral views of the chest provided.
 Low lung volumes limit assesment.  There is no focal consolidation, effusion,
 or pneumothorax. The cardiomediastinal silhouette is normal. Imaged osseous
 structures are intact.  No free air below the right hemidiaphragm is seen. 
 Pacing leads are unchanged in position.
 IMPRESSION: 
 Low lung volumes.  No definite pneumonia.  If clinical suspicion persists,
 repeat radiograph with improved inspiratory level may be considered.</x:v>
      </x:c>
      <x:c r="F128" s="27" t="str">
        <x:v>FINAL REPORT
 EXAMINATION:  CHEST (PORTABLE AP)
 INDICATION:  ___ year old woman with delirium  // Evaluate for new
 consolidation, focal infiltrates      Evaluate for new consolidation, focal
 infiltrates
 IMPRESSION: 
 Heart size and mediastinum are similar to ___.  Lung volumes are lower
 but there is interval resolution of interstitial edema.  There is new O left
 basal opacity potentially representing atelectasis versus infectious process.
 Right central venous line tip terminates at the level of cavoatrial junction. 
 Pacemaker leads terminate in the expected location of right atrium and right
 ventricle.</x:v>
      </x:c>
      <x:c r="G128" s="28" t="str">
        <x:v>Resolved</x:v>
      </x:c>
      <x:c r="H128" s="29" t="str"/>
      <x:c r="I128" s="29" t="str"/>
      <x:c r="J128" s="29" t="str"/>
      <x:c r="K128" s="30"/>
      <x:c r="L128" s="29" t="str"/>
      <x:c r="M128" s="31" t="str">
        <x:f>IF(H128="","待填写标签",IF(AND(H128="Unusable",I128=""),"需填写不可用原因",IF(J128="","需填写审核人",IF(K128="","需填写日期","完成"))))</x:f>
        <x:v>待填写标签</x:v>
      </x:c>
    </x:row>
    <x:row r="129" ht="72" customHeight="1">
      <x:c r="A129" s="25" t="n">
        <x:v>128</x:v>
      </x:c>
      <x:c r="B129" s="26" t="str">
        <x:v>review_0175</x:v>
      </x:c>
      <x:c r="C129" s="26" t="str">
        <x:v>mimic_cxr_jpg</x:v>
      </x:c>
      <x:c r="D129" s="27" t="str">
        <x:v>Atelectasis</x:v>
      </x:c>
      <x:c r="E129" s="27" t="str">
        <x:v>FINAL REPORT
 PORTABLE CHEST OF ___.
 COMPARISON:  ___.
 FINDINGS:  Radiograph centered in the lower chest was obtained for assessment
 of a nasogastric tube, which terminates within the body of the stomach. 
 Within the imaged portion of the chest, cardiomediastinal contours are stable.
 Moderate bilateral pleural effusions have slightly worsened with associated
 increased atelectasis at the lung bases.</x:v>
      </x:c>
      <x:c r="F129" s="27" t="str">
        <x:v>FINAL REPORT
 INDICATION:  Presumed pneumonia.  Evaluate for interval change.
 COMPARISON:  Chest radiograph ___.
 FINDINGS:  A frontal upright view of the chest was obtained portably. 
 Bilateral pleural effusions are moderate on the right and small on the left. 
 The right pleural effusion and adjacent atelectasis are unchanged, while the
 left pleural effusion has improved with improved aeration of the left lung. 
 The upper lung zones are clear.  The cardiac and mediastinal silhouettes are
 stable.  No pneumothorax.
 IMPRESSION:  Bilateral pleural effusions, unchanged on the right and decreased
 on the left, with adjacent atelectasis.</x:v>
      </x:c>
      <x:c r="G129" s="28" t="str">
        <x:v>Improved</x:v>
      </x:c>
      <x:c r="H129" s="29" t="str"/>
      <x:c r="I129" s="29" t="str"/>
      <x:c r="J129" s="29" t="str"/>
      <x:c r="K129" s="30"/>
      <x:c r="L129" s="29" t="str"/>
      <x:c r="M129" s="31" t="str">
        <x:f>IF(H129="","待填写标签",IF(AND(H129="Unusable",I129=""),"需填写不可用原因",IF(J129="","需填写审核人",IF(K129="","需填写日期","完成"))))</x:f>
        <x:v>待填写标签</x:v>
      </x:c>
    </x:row>
    <x:row r="130" ht="72" customHeight="1">
      <x:c r="A130" s="25" t="n">
        <x:v>129</x:v>
      </x:c>
      <x:c r="B130" s="26" t="str">
        <x:v>review_0007</x:v>
      </x:c>
      <x:c r="C130" s="26" t="str">
        <x:v>chexpert_plus</x:v>
      </x:c>
      <x:c r="D130" s="27" t="str">
        <x:v>Lung Opacity</x:v>
      </x:c>
      <x:c r="E130" s="27" t="str">
        <x:v>NARRATIVE:
Exam: Chest 1 View, 11/26/2009
Clinical History: 44 years Female with Shortness of breath
Comparison: 11/26/2009 at 1057 hrs
IMPRESSION:
1.A SINGLE AP UPRIGHT VIEW OF THE CHEST DEMONSTRATES STABLE VASCULAR 
LINES.
2.POSTSURGICAL STATUS WITH MULTIPLE STERNAL CERCLAGE WIRES AND 
CUTANEOUS STAPLES.  MULTIPLE SURGICAL CLIPS ARE SEEN PROJECTING OVER 
THE LEFT MEDIASTINUM AS WELL AS A RIGHT PARA-MEDIAN UPPER ABDOMEN.
3.INTERVAL INCREASED OPACITY IN THE LEFT PERIHILAR LUNG, LIKELY 
REPRESENTING INCREASED LEFT PLEURAL EFFUSION WITH ASSOCIATED 
COMPRESSION ATELECTASIS.  HOWEVER, THERE ARE ALSO NEW SIGNS OF 
PULMONARY EDEMA.
4.GROSSLY STABLE BASILAR OPACITY IN THE RIGHT LUNG BASE WITH POSSIBLY 
LOCULATED PLEURAL EFFUSION.
SUMMARY:4-POSSIBLY SIGNIFICANT FINDING, MAY NEED ACTION
ACCESSION NUMBER:
3_2_7_4_1_4_2_0_5
This report has been anonymized. All dates are offset from the actual dates by a fixed interval associated with the patient.</x:v>
      </x:c>
      <x:c r="F130" s="27" t="str">
        <x:v>NARRATIVE:
Exam: Chest 1 View, 7/19/2005
Clinical History: 44 years Female with Lung transplant
Comparison: 7/19/05 at 1046 hrs
IMPRESSION:
1.A SINGLE AP UPRIGHT VIEW OF THE CHEST DEMONSTRATES STABLE VASCULAR 
LINES THROUGH
2.POSTSURGICAL STATUS WITH MULTIPLE STERNAL CERCLAGE WIRES, SURGICAL 
CLIPS PROJECTING OVER THE MEDIASTINUM AND RIGHT UPPER ABDOMINAL 
QUADRANT,  AND CUTANEOUS STAPLES OVERLYING THE MEDIAN CHEST.
3.INTERVAL MILDLY INCREASED A RIGHT BASILAR OPACITY CONSISTENT WITH 
INCREASING, POSSIBLY LOCULATED PLEURAL EFFUSION AND ASSOCIATED 
ATELECTASIS.  GROSSLY STABLE FINDINGS IN THE LEFT LUNG.
SUMMARY:4-POSSIBLY SIGNIFICANT FINDING, MAY NEED ACTION
ACCESSION NUMBER:
7417
This report has been anonymized. All dates are offset from the actual dates by a fixed interval associated with the patient.</x:v>
      </x:c>
      <x:c r="G130" s="28" t="str">
        <x:v>Worse</x:v>
      </x:c>
      <x:c r="H130" s="29" t="str"/>
      <x:c r="I130" s="29" t="str"/>
      <x:c r="J130" s="29" t="str"/>
      <x:c r="K130" s="30"/>
      <x:c r="L130" s="29" t="str"/>
      <x:c r="M130" s="31" t="str">
        <x:f>IF(H130="","待填写标签",IF(AND(H130="Unusable",I130=""),"需填写不可用原因",IF(J130="","需填写审核人",IF(K130="","需填写日期","完成"))))</x:f>
        <x:v>待填写标签</x:v>
      </x:c>
    </x:row>
    <x:row r="131" ht="72" customHeight="1">
      <x:c r="A131" s="25" t="n">
        <x:v>130</x:v>
      </x:c>
      <x:c r="B131" s="26" t="str">
        <x:v>review_0053</x:v>
      </x:c>
      <x:c r="C131" s="26" t="str">
        <x:v>mimic_cxr_jpg</x:v>
      </x:c>
      <x:c r="D131" s="27" t="str">
        <x:v>Edema</x:v>
      </x:c>
      <x:c r="E131" s="27" t="str">
        <x:v>FINAL REPORT
 CHEST RADIOGRAPHS
 HISTORY:  Chest pain.
 COMPARISON:  Report from ___.
 TECHNIQUE:  Chest, PA and lateral.
 FINDINGS:  The heart is moderately enlarged.  There is no pleural effusion or
 pneumothorax.  Compared to the prior study, there is vague opacity projecting
 over the right lower lung; mild edema or infection could be considered. 
 IMPRESSION:  Cardiomegaly.  Vague new right lower lung opacity.</x:v>
      </x:c>
      <x:c r="F131" s="27" t="str">
        <x:v>FINAL REPORT
 INDICATION:  Chest pain and arm pain, evaluate for fracture.
 COMPARISON:  ___.
 FINDINGS:  Frontal, upright, and lateral chest radiographs demonstrate
 well-expanded lungs.  Cardiomediastinal contour is stable.  Again seen is
 enlargement of the heart.  Increased perihilar and basilar opacificatiesF
 likely relates to mild pulmonary vascular congestion, relatively unchanged. 
 There is no pleural effusion or pneumothorax.  Lateral view is obscured by the
 arm.  No definite displaced fractures are seen.
 IMPRESSION:   Cardiomegaly and mild pulmonary vascular congestion, unchanged.</x:v>
      </x:c>
      <x:c r="G131" s="28" t="str">
        <x:v>Stable</x:v>
      </x:c>
      <x:c r="H131" s="29" t="str"/>
      <x:c r="I131" s="29" t="str"/>
      <x:c r="J131" s="29" t="str"/>
      <x:c r="K131" s="30"/>
      <x:c r="L131" s="29" t="str"/>
      <x:c r="M131" s="31" t="str">
        <x:f>IF(H131="","待填写标签",IF(AND(H131="Unusable",I131=""),"需填写不可用原因",IF(J131="","需填写审核人",IF(K131="","需填写日期","完成"))))</x:f>
        <x:v>待填写标签</x:v>
      </x:c>
    </x:row>
    <x:row r="132" ht="72" customHeight="1">
      <x:c r="A132" s="25" t="n">
        <x:v>131</x:v>
      </x:c>
      <x:c r="B132" s="26" t="str">
        <x:v>review_0092</x:v>
      </x:c>
      <x:c r="C132" s="26" t="str">
        <x:v>chexpert_plus</x:v>
      </x:c>
      <x:c r="D132" s="27" t="str">
        <x:v>Pneumothorax</x:v>
      </x:c>
      <x:c r="E132" s="27" t="str">
        <x:v>NARRATIVE:
SINGLE VIEW OF THE CHEST: 11-11-2008 aware plus 0948 HOURS.
 COMPARISON: 11-11-2008.
 CLINICAL DATA: Chest tube removal.
 IMPRESSION:
 1. INTERVAL REMOVAL OF THE RIGHT-SIDED CHEST TUBE. THERE IS A 
PERSISTENT RIGHT PNEUMOTHORAX WHICH IS UNCHANGED IN SIZE. EXTENSIVE 
SUBCUTANEOUS AIR ALONG THE RIGHT LATERAL CHEST WALL AND RIGHT NECK 
WHICH IS STABLE. 
 2. LEFT LUNG REMAINS CLEAR. 
SUMMARY:2-ABNORMAL, PREVIOUSLY REPORTED  
I have personally reviewed the images for this examination and agreed
with the report transcribed above.
ACCESSION NUMBER:
75425261685
This report has been anonymized. All dates are offset from the actual dates by a fixed interval associated with the patient.</x:v>
      </x:c>
      <x:c r="F132" s="27" t="str">
        <x:v>NARRATIVE:
PORTABLE CHEST SINGLE VIEW:  9/12/2012
COMPARISON: 9/12/2012.
CLINICAL HISTORY: New chest tube.
SUMMARY:4- POSSIBLE SIGNIFICANT FINDINGS, MAY NEED ACTION 
I have personally reviewed the images for this examination and agreed
with the report transcribed above.
IMPRESSION: 
1.  INTERVAL PLACEMENT OF A RIGHT SIDED CHEST TUBE WITH DECREASED 
RIGHT PNEUMOTHORAX.  THERE IS NOW A LOCULATED FLUID COMPONENT WITHIN 
THIS HYDROPNEUMOTHORAX ON THE RIGHT.  THERE IS INCREASED SUBCUTANEOUS 
AIR ALONG THE RIGHT LATERAL CHEST WALL AND NECK.  THE LEFT LUNG 
REMAINS CLEAR.
2.  DUAL LEAD CARDIAC PACEMAKER IN PLACE.
END OF IMPRESSION:
ACCESSION NUMBER:
GBQRVOTY
This report has been anonymized. All dates are offset from the actual dates by a fixed interval associated with the patient.</x:v>
      </x:c>
      <x:c r="G132" s="28" t="str">
        <x:v>Improved</x:v>
      </x:c>
      <x:c r="H132" s="29" t="str"/>
      <x:c r="I132" s="29" t="str"/>
      <x:c r="J132" s="29" t="str"/>
      <x:c r="K132" s="30"/>
      <x:c r="L132" s="29" t="str"/>
      <x:c r="M132" s="31" t="str">
        <x:f>IF(H132="","待填写标签",IF(AND(H132="Unusable",I132=""),"需填写不可用原因",IF(J132="","需填写审核人",IF(K132="","需填写日期","完成"))))</x:f>
        <x:v>待填写标签</x:v>
      </x:c>
    </x:row>
    <x:row r="133" ht="72" customHeight="1">
      <x:c r="A133" s="25" t="n">
        <x:v>132</x:v>
      </x:c>
      <x:c r="B133" s="26" t="str">
        <x:v>review_0107</x:v>
      </x:c>
      <x:c r="C133" s="26" t="str">
        <x:v>mimic_cxr_jpg</x:v>
      </x:c>
      <x:c r="D133" s="27" t="str">
        <x:v>Lung Opacity</x:v>
      </x:c>
      <x:c r="E133" s="27" t="str">
        <x:v>FINAL REPORT
 EXAMINATION:  PA and lateral chest radiographs
 INDICATION:  ___ year old woman with cough/blood  // hemoptysis
 TECHNIQUE:  Chest PA and lateral
 COMPARISON:  PA and lateral chest radiographs dated ___
 FINDINGS: 
 Since chest radiographs dated ___, there is been interval resolution of
 the left apical pneumothorax and moderate right pleural effusion.  There is
 hazy opacification of the ipsilateral left lower lung without air bronchograms
 or ipsilateral pleural effusion.  Lungs are otherwise fully expanded and clear
 without consolidations.  No pneumothorax.  Heart size is top normal.
 Cardiomediastinal and hilar silhouettes are normal. Pleural surfaces are
 normal.
 IMPRESSION: 
 New, hazy opacification of the lateral left lower lung is concerning for an
 infectious process which may be contributing to the patient's hemoptysis. 
 Recommend follow-up PA and lateral chest radiographs in 4 weeks to assess for
 resolution.
 RECOMMENDATION(S):  Recommend follow-up PA and lateral chest radiographs in 4
 weeks.  If hemoptysis persists, consider CT chest.</x:v>
      </x:c>
      <x:c r="F133" s="27" t="str">
        <x:v>FINAL REPORT
 INDICATION:  ___ year old woman with pn treated  // fup  pn
 TECHNIQUE:  Chest PA and lateral
 COMPARISON:  ___
 FINDINGS: 
 Linear retrocardiac opacities are unchanged in appearance.  Hazy opacity in
 the left peripheral lung is also unchanged.  Mild cardiomegaly with pulmonary
 vascular redistribution, no overt remotely edema.  No pleural effusions.  Mild
 apical pleural thickening.  No pneumothorax.
 IMPRESSION: 
 Chronic likely scarring in the left lower lobe.
 Hazy opacity along the left chest wall is persistent and should be assessed
 with CT thorax.
 RECOMMENDATION(S):  CT thorax is recommended to assess the left lower lobe and
 chest wall.</x:v>
      </x:c>
      <x:c r="G133" s="28" t="str">
        <x:v>Stable</x:v>
      </x:c>
      <x:c r="H133" s="29" t="str"/>
      <x:c r="I133" s="29" t="str"/>
      <x:c r="J133" s="29" t="str"/>
      <x:c r="K133" s="30"/>
      <x:c r="L133" s="29" t="str"/>
      <x:c r="M133" s="31" t="str">
        <x:f>IF(H133="","待填写标签",IF(AND(H133="Unusable",I133=""),"需填写不可用原因",IF(J133="","需填写审核人",IF(K133="","需填写日期","完成"))))</x:f>
        <x:v>待填写标签</x:v>
      </x:c>
    </x:row>
    <x:row r="134" ht="72" customHeight="1">
      <x:c r="A134" s="25" t="n">
        <x:v>133</x:v>
      </x:c>
      <x:c r="B134" s="26" t="str">
        <x:v>review_0045</x:v>
      </x:c>
      <x:c r="C134" s="26" t="str">
        <x:v>mimic_cxr_jpg</x:v>
      </x:c>
      <x:c r="D134" s="27" t="str">
        <x:v>Pleural Effusion</x:v>
      </x:c>
      <x:c r="E134" s="27" t="str">
        <x:v>FINAL REPORT
 INDICATION:  ___-year-old woman with history of melanoma, now presenting with
 chills and left-sided back pain.  Please evaluate for pneumonia or fracture.
 COMPARISON:  CT of the torso from ___.
 TWO VIEWS OF THE CHEST: The lungs are low in volume but clear.  The
 cardiomediastinal silhouette and hilar contours are normal.  No pleural
 effusion or pneumothorax is present.  The visible osseous structures show no
 definite lucent or sclerotic lesions.  The thoracic and lumbar vertebral
 bodies that are imaged are preserved in height.
 IMPRESSION: No acute intrathoracic process.</x:v>
      </x:c>
      <x:c r="F134" s="27" t="str">
        <x:v>WET READ: ___ ___ ___ 9:55 PM
  No acute cardiopulmonary process. No pneumonia. ___ p_________________________________________________________________________________
                                 FINAL REPORT
 PA AND LATERAL CHEST ON ___
 HISTORY:  Metastatic right inguinal melanoma.  Right lower extremity
 cellulitis.  Fever and cough.
 IMPRESSION:  PA and lateral chest compared to ___:
 Tiny punctate opacities in the lower lungs are probably pulmonary granulomata.
 Lateral view suggests granulomatous calcifications in the left hilus.  There
 are no larger soft tissue nodules identified with certainty in the lungs, but
 CT scanning would be required to exclude them, particularly if there is
 concern about pulmonary metastasis.  There is no evidence of central lymph
 node enlargement or consolidation.  Lateral view shows a small right pleural
 effusion, new since ___.  The indentation on the right side of the
 cervical trachea is most commonly due to an enlarged thyroid, but
 lymphadenopathy is an alternative explanation.  Heart size is normal.  Dr.
 ___ ___ I discussed these findings by telephone at the time of dictation.</x:v>
      </x:c>
      <x:c r="G134" s="28" t="str">
        <x:v>New</x:v>
      </x:c>
      <x:c r="H134" s="29" t="str"/>
      <x:c r="I134" s="29" t="str"/>
      <x:c r="J134" s="29" t="str"/>
      <x:c r="K134" s="30"/>
      <x:c r="L134" s="29" t="str"/>
      <x:c r="M134" s="31" t="str">
        <x:f>IF(H134="","待填写标签",IF(AND(H134="Unusable",I134=""),"需填写不可用原因",IF(J134="","需填写审核人",IF(K134="","需填写日期","完成"))))</x:f>
        <x:v>待填写标签</x:v>
      </x:c>
    </x:row>
    <x:row r="135" ht="72" customHeight="1">
      <x:c r="A135" s="25" t="n">
        <x:v>134</x:v>
      </x:c>
      <x:c r="B135" s="26" t="str">
        <x:v>review_0206</x:v>
      </x:c>
      <x:c r="C135" s="26" t="str">
        <x:v>mimic_cxr_jpg</x:v>
      </x:c>
      <x:c r="D135" s="27" t="str">
        <x:v>Pleural Effusion</x:v>
      </x:c>
      <x:c r="E135" s="27" t="str">
        <x:v>FINAL REPORT
 EXAMINATION:  CHEST (PORTABLE AP)
 INDICATION:  ___ year old man with ESRD on HD, with increased SOB and known
 pleural effusions  // Evaluation of volume status post HD      Evaluation of
 volume status post HD
 IMPRESSION: 
 In comparison with the study of ___, following hemodialysis the pulmonary
 vessels appear more engorged and indistinct, indicating increased pulmonary
 vascular congestion.  Huge enlargement of the cardiac silhouette persists. 
 The remainder of the examination is unchanged.</x:v>
      </x:c>
      <x:c r="F135" s="27" t="str">
        <x:v>FINAL REPORT
 EXAMINATION:  CHEST (PORTABLE AP)
 INDICATION:  ___ year old man with hypoxia and pleural effusions  // Evaluation
 of pleural effusions
 IMPRESSION: 
 In comparison to ___ chest radiograph, cardiomegaly is accompanied
 by improved pulmonary vascular congestion and decreased size of bilateral
 pleural effusions with residual effusions moderate on the right and small on
 the left.</x:v>
      </x:c>
      <x:c r="G135" s="28" t="str">
        <x:v>Improved</x:v>
      </x:c>
      <x:c r="H135" s="29" t="str"/>
      <x:c r="I135" s="29" t="str"/>
      <x:c r="J135" s="29" t="str"/>
      <x:c r="K135" s="30"/>
      <x:c r="L135" s="29" t="str"/>
      <x:c r="M135" s="31" t="str">
        <x:f>IF(H135="","待填写标签",IF(AND(H135="Unusable",I135=""),"需填写不可用原因",IF(J135="","需填写审核人",IF(K135="","需填写日期","完成"))))</x:f>
        <x:v>待填写标签</x:v>
      </x:c>
    </x:row>
    <x:row r="136" ht="72" customHeight="1">
      <x:c r="A136" s="25" t="n">
        <x:v>135</x:v>
      </x:c>
      <x:c r="B136" s="26" t="str">
        <x:v>review_0036</x:v>
      </x:c>
      <x:c r="C136" s="26" t="str">
        <x:v>mimic_cxr_jpg</x:v>
      </x:c>
      <x:c r="D136" s="27" t="str">
        <x:v>Lung Opacity</x:v>
      </x:c>
      <x:c r="E136" s="27" t="str">
        <x:v>FINAL REPORT
 EXAMINATION:  CHEST (PORTABLE AP)
 INDICATION:  ___ year old man POP D1 blebectomy and pleurodesis, now with
 expanding sc emphysema  // Evaluate PTX and tube position
 COMPARISON:  ___ at 06:21
 FINDINGS: 
 There is moderate to severe subcutaneous emphysema in the lower neck and over
 the chest, overall worse on the right than the left.  There is a surgical
 drain projecting over the right lung, similar to prior.  Streaky bibasilar
 opacities appear similar to prior.  There is no effusion or pneumothorax. The
 cardiomediastinal silhouette is normal.
 IMPRESSION:
 1. Interval worsening of subcutaneous emphysema, overall worse on the right
 than the left.
 2. No pneumothorax.
 3. Surgical drain projects over the right lung, similar to prior, but definite
 position cannot be determined without a lateral view.</x:v>
      </x:c>
      <x:c r="F136" s="27" t="str">
        <x:v>FINAL REPORT
 EXAMINATION:  CHEST (PORTABLE AP)
 INDICATION:  ___ year old man POP D2 blebectomy and pleurodesis. Has expansive
 SC emphysema.  // Please do between ___ am. Evaluate PTX and tube position.   
 Please do between ___ am. Evaluate PTX and tube position.
 IMPRESSION: 
 Heart size and mediastinum are stable.  Right chest tube is in place.  No
 substantial difference in the extensive amount of subcutaneous air
 demonstrated.  Bibasal opacities are unchanged.</x:v>
      </x:c>
      <x:c r="G136" s="28" t="str">
        <x:v>Stable</x:v>
      </x:c>
      <x:c r="H136" s="29" t="str"/>
      <x:c r="I136" s="29" t="str"/>
      <x:c r="J136" s="29" t="str"/>
      <x:c r="K136" s="30"/>
      <x:c r="L136" s="29" t="str"/>
      <x:c r="M136" s="31" t="str">
        <x:f>IF(H136="","待填写标签",IF(AND(H136="Unusable",I136=""),"需填写不可用原因",IF(J136="","需填写审核人",IF(K136="","需填写日期","完成"))))</x:f>
        <x:v>待填写标签</x:v>
      </x:c>
    </x:row>
    <x:row r="137" ht="72" customHeight="1">
      <x:c r="A137" s="25" t="n">
        <x:v>136</x:v>
      </x:c>
      <x:c r="B137" s="26" t="str">
        <x:v>review_0225</x:v>
      </x:c>
      <x:c r="C137" s="26" t="str">
        <x:v>mimic_cxr_jpg</x:v>
      </x:c>
      <x:c r="D137" s="27" t="str">
        <x:v>Pleural Effusion</x:v>
      </x:c>
      <x:c r="E137" s="27" t="str">
        <x:v>FINAL REPORT
 INDICATION:  ___-year-old woman with pleural effusion.
 COMPARISONS:  ___ - ___.
 FINDINGS:  PA and lateral chest radiographs were obtained.  A large right
 pleural effusion has significantly increased in size since ___ after
 recent thoracentesis.  Depression of the medial right major fissure is
 indicative of right lower lobe volume loss.  There is no left effusion.  No
 new consolidation or pneumothorax is present.  Moderate cardiomegaly is
 unchanged.
 IMPRESSION:  Interval increase in size of large right pleural effusion.</x:v>
      </x:c>
      <x:c r="F137" s="27" t="str">
        <x:v>FINAL REPORT
 CHEST RADIOGRAPH
 INDICATION:  Hepatic hydrothorax, status post thoracocentesis.
 COMPARISON:  ___.
 FINDINGS:  The patient has undergone right thoracocentesis.  The right pleural
 effusion is almost completely resolved.  There is no evidence of pneumothorax.
 Borderline size of the cardiac silhouette.  Normal hilar and mediastinal
 structures.</x:v>
      </x:c>
      <x:c r="G137" s="28" t="str">
        <x:v>Resolved</x:v>
      </x:c>
      <x:c r="H137" s="29" t="str"/>
      <x:c r="I137" s="29" t="str"/>
      <x:c r="J137" s="29" t="str"/>
      <x:c r="K137" s="30"/>
      <x:c r="L137" s="29" t="str"/>
      <x:c r="M137" s="31" t="str">
        <x:f>IF(H137="","待填写标签",IF(AND(H137="Unusable",I137=""),"需填写不可用原因",IF(J137="","需填写审核人",IF(K137="","需填写日期","完成"))))</x:f>
        <x:v>待填写标签</x:v>
      </x:c>
    </x:row>
    <x:row r="138" ht="72" customHeight="1">
      <x:c r="A138" s="25" t="n">
        <x:v>137</x:v>
      </x:c>
      <x:c r="B138" s="26" t="str">
        <x:v>review_0106</x:v>
      </x:c>
      <x:c r="C138" s="26" t="str">
        <x:v>mimic_cxr_jpg</x:v>
      </x:c>
      <x:c r="D138" s="27" t="str">
        <x:v>Edema</x:v>
      </x:c>
      <x:c r="E138" s="27" t="str">
        <x:v>FINAL REPORT
 REASON FOR EXAMINATION:  Pneumonia, worsening consolidations.
 Portable AP radiograph of the chest was reviewed in comparison to prior study
 obtained on ___ at 7:40 p.m.
 The right internal jugular line is at the cavoatrial junction or potentially
 even below and may be pulled back additional 1.5 cm.  Widespread parenchymal
 opacities are unchanged as well as cardiomediastinal silhouette.</x:v>
      </x:c>
      <x:c r="F138" s="27" t="str">
        <x:v>FINAL REPORT
 REASON FOR EXAMINATION:  Evaluation of the patient with internal jugular line
 placement, assessment of the status of pulmonary edema.
 Portable AP radiograph of the chest was reviewed in comparison to ___.
 Right internal jugular line tip terminates at the level of proximal right
 atrium or cavoatrial junction.  Pulmonary edema has progressed in the interim,
 severe, associated with bilateral pleural effusions.  No pneumothorax.</x:v>
      </x:c>
      <x:c r="G138" s="28" t="str">
        <x:v>Worse</x:v>
      </x:c>
      <x:c r="H138" s="29" t="str"/>
      <x:c r="I138" s="29" t="str"/>
      <x:c r="J138" s="29" t="str"/>
      <x:c r="K138" s="30"/>
      <x:c r="L138" s="29" t="str"/>
      <x:c r="M138" s="31" t="str">
        <x:f>IF(H138="","待填写标签",IF(AND(H138="Unusable",I138=""),"需填写不可用原因",IF(J138="","需填写审核人",IF(K138="","需填写日期","完成"))))</x:f>
        <x:v>待填写标签</x:v>
      </x:c>
    </x:row>
    <x:row r="139" ht="72" customHeight="1">
      <x:c r="A139" s="25" t="n">
        <x:v>138</x:v>
      </x:c>
      <x:c r="B139" s="26" t="str">
        <x:v>review_0069</x:v>
      </x:c>
      <x:c r="C139" s="26" t="str">
        <x:v>chexpert_plus</x:v>
      </x:c>
      <x:c r="D139" s="27" t="str">
        <x:v>Enlarged Cardiomediastinum</x:v>
      </x:c>
      <x:c r="E139" s="27" t="str">
        <x:v>NARRATIVE:
Chest 2 Views 3-3-2007 
History: Re-staging 
Comparison: 3/3/07.
Impression: 
PA AND LATERAL VIEWS OF THE CHEST SHOW NO INTERVAL CHANGE.  
CARDIOMEDIASTINUM IS STABLE.  A FAINT AREA OF LINEAR OPACITY PERSISTS 
IN THE RIGHT MIDLUNG, UNCHANGED.  SIMILARLY, STRANDY AND LINEAR 
OPACITY ANTERIORLY ON THE LATERAL VIEW IS UNCHANGED, AND CONSISTENT 
WITH SCARRING.  NEGATIVE FOR NODULES, CONSOLIDATION OR PLEURAL 
EFFUSIONS.
SUMMARY CODE: SUMMARY: 2-ABNORMAL, PREVIOUSLY REPORTED
ACCESSION NUMBER:
89
This report has been anonymized. All dates are offset from the actual dates by a fixed interval associated with the patient.</x:v>
      </x:c>
      <x:c r="F139" s="27" t="str">
        <x:v>NARRATIVE:
EXAM: Chest 2 Views, 10/2019
CLINICAL HISTORY: Male of 52 years. Reason for study: "Thymoma; 
status post thymectomy and XRT.  Surveillance" 
COMPARISON: 10/20/2019.  CT OCTOBER 20 2019
FINDINGS:
No acute cardiopulmonary findings.  Low lung volumes.  Persistent 
elevation of the right hemidiaphragm.  Minimal increased opacity of 
the left lung base is likely representative of atelectasis. Increased 
linear reticular opacity extending to the anterior pleural surface of 
the right mid lung zone, most suggestive of scarring.  No pleural 
effusions.  Stable post surgical changes of the mediastinum with 
median sternotomy wires and several vascular clips noted in the 
middle mediastinum.  Unchanged appearance of the cardiomediastinal 
silhouette.  An ovoid sclerotic focus projecting over the posterior 
right sixth rib is stable in appearance, consistent with a bone 
island as demonstrated on this CT of october 20th, 2019. 
IMPRESSION:
1.WITH THE EXCEPTION OF MILD INCREASED SCARRING OF THE RIGHT MIDLUNG 
ZONE, THERE IS NO SIGNIFICANT INTERVAL CHANGE WHEN COMPARED TO 
october 20th, 2019.  NO GROSS EVIDENCE OF MASS, INFILTRATES, CONSOLIDATION OR 
PLEURAL EFFUSIONS. 
 SUMMARY: 2-ABNORMAL, PREVIOUSLY REPORTED
ACCESSION NUMBER:
#381929304
This report has been anonymized. All dates are offset from the actual dates by a fixed interval associated with the patient.</x:v>
      </x:c>
      <x:c r="G139" s="28" t="str">
        <x:v>Stable</x:v>
      </x:c>
      <x:c r="H139" s="29" t="str"/>
      <x:c r="I139" s="29" t="str"/>
      <x:c r="J139" s="29" t="str"/>
      <x:c r="K139" s="30"/>
      <x:c r="L139" s="29" t="str"/>
      <x:c r="M139" s="31" t="str">
        <x:f>IF(H139="","待填写标签",IF(AND(H139="Unusable",I139=""),"需填写不可用原因",IF(J139="","需填写审核人",IF(K139="","需填写日期","完成"))))</x:f>
        <x:v>待填写标签</x:v>
      </x:c>
    </x:row>
    <x:row r="140" ht="72" customHeight="1">
      <x:c r="A140" s="25" t="n">
        <x:v>139</x:v>
      </x:c>
      <x:c r="B140" s="26" t="str">
        <x:v>review_0185</x:v>
      </x:c>
      <x:c r="C140" s="26" t="str">
        <x:v>chexpert_plus</x:v>
      </x:c>
      <x:c r="D140" s="27" t="str">
        <x:v>Edema</x:v>
      </x:c>
      <x:c r="E140" s="27" t="str">
        <x:v>NARRATIVE:
CHEST: Single view portable 8/29/2003
CLINICAL HISTORY: Cardiomyopathy, post heart transplant.
COMPARISON: 8-29-2003
IMPRESSION:
1. INTERVAL EXTUBATION AND REMOVAL OF NASOGASTRIC TUBE. TWO
MEDIASTINAL DRAINS REMAIN IN PLACE. THE SWAN-GANZ CATHETER HAS BEEN
RETRACTED WITH TIP NOW AT THE PROXIMAL SUPERIOR VENA CAVA. AN
ADDITIONAL LEFT INTERNAL JUGULAR CENTRAL VENOUS LINE TIP REMAINS AT
THE LEVEL OF THE PROXIMAL SUPERIOR VENA CAVA. A RIGHT PICC LINE
TIP IS AGAIN NOTED AT THE LEVEL OF THE PROXIMAL SUPERIOR VENA CAVA.
POST SURGICAL CHANGES RELATED TO MIDLINE STERNOTOMY. LUNG VOLUMES
REMAIN SLIGHTLY DECREASED WITH PERSISTENT LEFT LOWER LOBE
RETROCARDIAC OPACITY. THE LUNGS ARE OTHERWISE CLEAR. NO PLEURAL
EFFUSION. CARDIOMEDIASTINAL SILHOUETTE IS STABLE.
END OF IMPRESSION:
I have personally reviewed the images for this examination and agree
with the report transcribed above.
By: Klein Skylar Kylee, PA-C  on: August 29
ACCESSION NUMBER:
#135050976
This report has been anonymized. All dates are offset from the actual dates by a fixed interval associated with the patient.</x:v>
      </x:c>
      <x:c r="F140" s="27" t="str">
        <x:v>NARRATIVE:
PORTABLE CHEST SINGLE VIEW: 5/19/17 AT 0400 HOURS.
COMPARISON: 5/19/2017
CLINICAL DATA: Cardiomyopathy status post heart transplant.
IMPRESSION:
1. LINES AND TUBES ARE STABLE.
2. THE LEFT INTERNAL JUGULAR SWAN GANZ CATHETER REMAINS IN THE
RIGHT VENTRICULAR OUTFLOW TRACT.
4. COMPARED TO THE PRIOR EXAMINATION, THE PULMONARY EDEMA HAS
RESOLVED.
5. INTERVAL DEVELOPMENT OF RETROCARDIAC ATELECTASIS.
END OF IMPRESSION:
SUMMARY: 4 POSSIBLE SIGNIFICANT FINDINGS, MAY NEED ACTION
I have personally reviewed the images for this examination and agree
with the report transcribed above.
By: kramer, benjamin  on: 5/19/2017
ACCESSION NUMBER:
HW00CKX609443
This report has been anonymized. All dates are offset from the actual dates by a fixed interval associated with the patient.</x:v>
      </x:c>
      <x:c r="G140" s="28" t="str">
        <x:v>Resolved</x:v>
      </x:c>
      <x:c r="H140" s="29" t="str"/>
      <x:c r="I140" s="29" t="str"/>
      <x:c r="J140" s="29" t="str"/>
      <x:c r="K140" s="30"/>
      <x:c r="L140" s="29" t="str"/>
      <x:c r="M140" s="31" t="str">
        <x:f>IF(H140="","待填写标签",IF(AND(H140="Unusable",I140=""),"需填写不可用原因",IF(J140="","需填写审核人",IF(K140="","需填写日期","完成"))))</x:f>
        <x:v>待填写标签</x:v>
      </x:c>
    </x:row>
    <x:row r="141" ht="72" customHeight="1">
      <x:c r="A141" s="25" t="n">
        <x:v>140</x:v>
      </x:c>
      <x:c r="B141" s="26" t="str">
        <x:v>review_0101</x:v>
      </x:c>
      <x:c r="C141" s="26" t="str">
        <x:v>chexpert_plus</x:v>
      </x:c>
      <x:c r="D141" s="27" t="str">
        <x:v>Enlarged Cardiomediastinum</x:v>
      </x:c>
      <x:c r="E141" s="27" t="str">
        <x:v>NARRATIVE:
EXAM: Chest 1 View, 5/10/2011
CLINICAL HISTORY:  29 years old Female S/p picc placement 
COMPARISON: 5/10/2011
TECHNIQUE: Single frontal view of chest on May 10
IMPRESSION:
1.NEW LEFT UPPER EXTREMITY PICC, WITH TIP 6.2 CM BELOW THE LEVEL OF 
THE CARINA.  NO APICAL PNEUMOTHORAX IS SEEN.
2.PLEASE NOTE THAT THE LEFT COSTOPHRENIC ANGLE IS INCOMPLETELY 
IMAGED. STABLE SLIGHT BLUNTING OF THE VISUALIZED LEFT COSTOPHRENIC 
ANGLE, WHICH COULD REFLECT A SMALL PLEURAL EFFUSION OR PLEURAL 
THICKENING/SCARRING.  NO NEW FOCAL CONSOLIDATION OR PULMONARY EDEMA.
3.STABLE CARDIOMEDIASTINAL SILHOUETTE.
SUMMARY:4-POSSIBLY SIGNIFICANT FINDING, MAY NEED ACTION
I have personally reviewed the images for this examination and agreed
with the report transcribed above.
ACCESSION NUMBER:
039946120
This report has been anonymized. All dates are offset from the actual dates by a fixed interval associated with the patient.</x:v>
      </x:c>
      <x:c r="F141" s="27" t="str">
        <x:v>NARRATIVE:
Exam: Chest 1 View, 4-14-2010
Clinical History: 30 years Female with Determine PICC tip location
Comparison: 4/14/2010
IMPRESSION:
1.NEW RIGHT UPPER EXTREMITY PICC WITH TIP IN THE LOWER SVC.
2.SMALL LEFT PLEURAL EFFUSION VERSUS SCARRING IS UNCHANGED.  LUNGS 
OTHERWISE CLEAR WITHOUT EVIDENCE OF FOCAL CONSOLIDATION OR PULMONARY 
EDEMA.
3.STABLE CARDIOMEDIASTINAL SILHOUETTE.
SUMMARY: 4-POSSIBLE SIGNIFICANT FINDING, MAY NEED ACTION
I have personally reviewed the images for this examination and agreed
with the report transcribed above.
ACCESSION NUMBER:
266249
This report has been anonymized. All dates are offset from the actual dates by a fixed interval associated with the patient.</x:v>
      </x:c>
      <x:c r="G141" s="28" t="str">
        <x:v>Improved</x:v>
      </x:c>
      <x:c r="H141" s="29" t="str"/>
      <x:c r="I141" s="29" t="str"/>
      <x:c r="J141" s="29" t="str"/>
      <x:c r="K141" s="30"/>
      <x:c r="L141" s="29" t="str"/>
      <x:c r="M141" s="31" t="str">
        <x:f>IF(H141="","待填写标签",IF(AND(H141="Unusable",I141=""),"需填写不可用原因",IF(J141="","需填写审核人",IF(K141="","需填写日期","完成"))))</x:f>
        <x:v>待填写标签</x:v>
      </x:c>
    </x:row>
    <x:row r="142" ht="72" customHeight="1">
      <x:c r="A142" s="25" t="n">
        <x:v>141</x:v>
      </x:c>
      <x:c r="B142" s="26" t="str">
        <x:v>review_0120</x:v>
      </x:c>
      <x:c r="C142" s="26" t="str">
        <x:v>mimic_cxr_jpg</x:v>
      </x:c>
      <x:c r="D142" s="27" t="str">
        <x:v>Edema</x:v>
      </x:c>
      <x:c r="E142" s="27" t="str">
        <x:v>FINAL REPORT
 EXAMINATION:  CHEST (AP AND LAT)
 INDICATION:  History: ___M with hypotension, bilateral PCNs, left chest
 rhonchus
 TECHNIQUE:  Upright AP and lateral views of the chest
 COMPARISON:  ___ chest radiograph
 FINDINGS: 
 Mild enlargement of the cardiac silhouette is unchanged.  The mediastinal and
 hilar contours are similar.  Pulmonary vasculature is not engorged.  Minimal
 atelectasis is noted in the lung bases without focal consolidation, pleural
 effusion or pneumothorax.  No acute osseous abnormalities detected.  Remote
 right-sided rib fractures are present.
 IMPRESSION: 
 No acute cardiopulmonary abnormality.</x:v>
      </x:c>
      <x:c r="F142" s="27" t="str">
        <x:v>FINAL REPORT
 EXAMINATION:  CHEST (PORTABLE AP)
 INDICATION:  ___ year old man with cough, sepsis, new O2 requirement  //
 Evaluate for infection, edema      Evaluate for infection, edema
 IMPRESSION: 
 Compared to chest radiographs MK since ___, most recently ___.
 Mild pulmonary edema is new.  Heart size normal.  No focal pulmonary
 abnormality, pleural effusion or evidence of pneumothorax.</x:v>
      </x:c>
      <x:c r="G142" s="28" t="str">
        <x:v>New</x:v>
      </x:c>
      <x:c r="H142" s="29" t="str"/>
      <x:c r="I142" s="29" t="str"/>
      <x:c r="J142" s="29" t="str"/>
      <x:c r="K142" s="30"/>
      <x:c r="L142" s="29" t="str"/>
      <x:c r="M142" s="31" t="str">
        <x:f>IF(H142="","待填写标签",IF(AND(H142="Unusable",I142=""),"需填写不可用原因",IF(J142="","需填写审核人",IF(K142="","需填写日期","完成"))))</x:f>
        <x:v>待填写标签</x:v>
      </x:c>
    </x:row>
    <x:row r="143" ht="72" customHeight="1">
      <x:c r="A143" s="25" t="n">
        <x:v>142</x:v>
      </x:c>
      <x:c r="B143" s="26" t="str">
        <x:v>review_0121</x:v>
      </x:c>
      <x:c r="C143" s="26" t="str">
        <x:v>chexpert_plus</x:v>
      </x:c>
      <x:c r="D143" s="27" t="str">
        <x:v>Consolidation</x:v>
      </x:c>
      <x:c r="E143" s="27" t="str">
        <x:v>NARRATIVE:
Chest 1 View 12/2/15
CLINICAL IDENTITY:  Male, 56 years-old
REASON FOR STUDY:  S/p picc line placement.
COMPARISON:  15/12/2
IMPRESSION:
FRONTAL RADIOGRAPH OF THE CHEST DEMONSTRATES: 
1.INTERVAL PLACEMENT OF A LEFT UPPER EXTREMITY PICC LINE WITH THE TIP 
TERMINATING IN THE SVC ROUGHLY 2.0  CM BELOW THE CARINA.
2.CARDIOMEGALY WITH PROMINENT PULMONARY VASCULATURE BUT NO EVIDENCE 
OF FRANK EDEMA.
3.IRREGULAR LINEAR OPACITIES IN THE RIGHT LUNG BASE WHICH MAY 
REPRESENT PARENCHYMAL SCARRING.
4.STABLE RIGHT LOWER LUNG CALCIFIED NODULE.
SUMMARY:4-POSSIBLY SIGNIFICANT FINDING, MAY NEED ACTION
I have personally reviewed the images for this examination and agreed
with the report transcribed above.
ACCESSION NUMBER:
198069
This report has been anonymized. All dates are offset from the actual dates by a fixed interval associated with the patient.</x:v>
      </x:c>
      <x:c r="F143" s="27" t="str">
        <x:v>NARRATIVE:
RADIOGRAPHIC EXAMINATION OF THE CHEST: 7/18/2002
CLINICAL HISTORY: 58 years of age, Male, 58 y M with CLL, febrile 
neutropenia, and cough.  R/O PNA.  Compare to prior XRAY.
COMPARISON:  7-18-2002
PROCEDURE COMMENTS: Two views of the chest. 
FINDINGS:
The cardiomediastinal silhouette is stable. There is right middle 
lobe consolidation, new from prior. No acute bony significant bony 
abnormalities. No significant pleural effusion.
IMPRESSION:
1.  Right middle lobe pneumonia.
2.  Findings discussed with wiley, sara at 1430.
ACCESSION NUMBER:
yzn-juq-yaw-svr
This report has been anonymized. All dates are offset from the actual dates by a fixed interval associated with the patient.</x:v>
      </x:c>
      <x:c r="G143" s="28" t="str">
        <x:v>New</x:v>
      </x:c>
      <x:c r="H143" s="29" t="str"/>
      <x:c r="I143" s="29" t="str"/>
      <x:c r="J143" s="29" t="str"/>
      <x:c r="K143" s="30"/>
      <x:c r="L143" s="29" t="str"/>
      <x:c r="M143" s="31" t="str">
        <x:f>IF(H143="","待填写标签",IF(AND(H143="Unusable",I143=""),"需填写不可用原因",IF(J143="","需填写审核人",IF(K143="","需填写日期","完成"))))</x:f>
        <x:v>待填写标签</x:v>
      </x:c>
    </x:row>
    <x:row r="144" ht="72" customHeight="1">
      <x:c r="A144" s="25" t="n">
        <x:v>143</x:v>
      </x:c>
      <x:c r="B144" s="26" t="str">
        <x:v>review_0004</x:v>
      </x:c>
      <x:c r="C144" s="26" t="str">
        <x:v>chexpert_plus</x:v>
      </x:c>
      <x:c r="D144" s="27" t="str">
        <x:v>Lung Opacity</x:v>
      </x:c>
      <x:c r="E144" s="27" t="str">
        <x:v>NARRATIVE:
ONE VIEW CHEST:  7-22-2011 
 COMPARISON:  7-22-2011.
 CLINICAL HISTORY:  Intubation.
 IMPRESSION:   
 1.  STABLE AND STANDARD SUPPORTIVE DEVICES INCLUDING AN ENDOTRACHEAL 
TUBE, NG TUBE, LEFT CHEST WALL AICD, BILATERAL CHEST TUBES AND 
VENTRICULAR-ASSIST DEVICE.
 2.  NO SIGNIFICANT INTERVAL CHANGE IN MASSIVE CARDIOMEGALY AND 
RETROCARDIAC OPACITIES.  MODERATE LEFT PLEURAL EFFUSION.  NO 
PULMONARY EDEMA.  NO PNEUMOTHORAX.
 SUMMARY:2-ABNORMAL, PREVIOUSLY REPORTED   
I have personally reviewed the images for this examination and agreed
with the report transcribed above.
ACCESSION NUMBER:
qv
This report has been anonymized. All dates are offset from the actual dates by a fixed interval associated with the patient.</x:v>
      </x:c>
      <x:c r="F144" s="27" t="str">
        <x:v>NARRATIVE:
CHEST, ONE VIEW:  6/25/2018.
COMPARISON: 6/25/2018.
CLINICAL DATA:  Intubation. 
IMPRESSION: 
1.  PORTABLE SEMIUPRIGHT VIEW OF THE CHEST DATED 6/25/2018 
DEMONSTRATES INTERVAL REMOVAL OF A FEEDING TUBE AND BILATERAL CHEST 
TUBES WITH STABLE LEFT INTERNAL JUGULAR LINE, TRACHEOSTOMY, AND LEFT 
CHEST WALL AICD PACER.  
2.  THERE IS A SMALL RIGHT APICAL PNEUMOTHORAX. 
3.  STABLE CARDIOMEGALY, RETROCARDIAC OPACITIES, AND MINIMAL 
INTERSTITIAL PULMONARY EDEMA. 
SUMMARY:4-POSSIBLE SIGNIFICANT FINDINGS, MAY NEED ACTION 
I have personally reviewed the images for this examination and agreed
with the report transcribed above.
ACCESSION NUMBER:
89948470
This report has been anonymized. All dates are offset from the actual dates by a fixed interval associated with the patient.</x:v>
      </x:c>
      <x:c r="G144" s="28" t="str">
        <x:v>Stable</x:v>
      </x:c>
      <x:c r="H144" s="29" t="str"/>
      <x:c r="I144" s="29" t="str"/>
      <x:c r="J144" s="29" t="str"/>
      <x:c r="K144" s="30"/>
      <x:c r="L144" s="29" t="str"/>
      <x:c r="M144" s="31" t="str">
        <x:f>IF(H144="","待填写标签",IF(AND(H144="Unusable",I144=""),"需填写不可用原因",IF(J144="","需填写审核人",IF(K144="","需填写日期","完成"))))</x:f>
        <x:v>待填写标签</x:v>
      </x:c>
    </x:row>
    <x:row r="145" ht="72" customHeight="1">
      <x:c r="A145" s="25" t="n">
        <x:v>144</x:v>
      </x:c>
      <x:c r="B145" s="26" t="str">
        <x:v>review_0014</x:v>
      </x:c>
      <x:c r="C145" s="26" t="str">
        <x:v>chexpert_plus</x:v>
      </x:c>
      <x:c r="D145" s="27" t="str">
        <x:v>Lung Opacity</x:v>
      </x:c>
      <x:c r="E145" s="27" t="str">
        <x:v>NARRATIVE:
CHEST ONE VIEW:  04/18/01
 CLINICAL HISTORY:  21 year old female with CCU follow up for 
pulmonary arterial hypertension and history of JIA. 
 COMPARISON:  Chest x-ray 4-18-2001. 
 IMPRESSION: 
 1. STABLE RIGHT IJ SHEATH AND RIGHT UPPER EXTREMITY PICC. 
 2. REDEMONSTRATION OF LARGE MAIN PULMONARY ARTERY, WITH CARDIOMEGALY 
AND SMALL BILATERAL PLEURAL EFFUSIONS. 
 3. SLIGHT INCREASE IN RETROCARDIAC OPACITY.  
 4.  STABLE FINE RETRICULAR PATTERN, MOST CONSISTENT WITH PULMONARY 
EDEMA.  
 SUMMARY:2-ABNORMAL, PREVIOUSLY REPORTED   
I have personally reviewed the images for this examination and agreed
with the report transcribed above.
ACCESSION NUMBER:
338398
This report has been anonymized. All dates are offset from the actual dates by a fixed interval associated with the patient.</x:v>
      </x:c>
      <x:c r="F145" s="27" t="str">
        <x:v>NARRATIVE:
0378, CHEST, ONE VIEW:  9-23-16
 43848432586, CHEST, ONE VIEW:  9/23/2016
 0378, CHEST, ONE VIEW:  9-23-16
 COMPARISON:  september 23, 16, prior study at 1115 hours. 
 CLINICAL HISTORY:  Twenty-one-year-old female with tachypnea and 
chills.  
 FINDINGS:  A single semierect AP view of the chest dated 9/23/2016 
at 1652 hours demonstrates stable position of two central venous 
catheters with the tips at the cavoatrial junction.  Enlarged 
pulmonary arteries are again seen, compatible with pulmonary arterial 
hypertension.  Interval development of a diffuse reticular pattern 
likely consistent with pulmonary edema.  Increased left retrocardiac 
opacity, which may represent atelectasis, infection or aspiration. 
 A single semiupright view of the chest dated 9-23-2016 at 1752 
hours demonstrates interval endotracheal intubation with the ET tube 
above the carina.  The remaining medical support devices are in 
stable position.  Slightly improved pulmonary edema when compared 
with prior study.  Stable left retrocardiac opacity. 
 A single semiupright AP view of the chest dated September 23rd at 0439 
hours demonstrates stable position of medical support devices with 
interval placement of a nasogastric tube, the tip of which is not 
included on this image.  Further improvement of pulmonary edema with 
persistent left retrocardiac opacity and a small left pleural 
effusion. 
 IMPRESSION: 
 1.  PULMONARY EDEMA, IMPROVING. 
 2.  PERSISTENT LEFT RETROCARDIAC OPACITY. 
 3.  ENLARGED BILATERAL PULMONARY ARTERIES CONSISTENT WITH PULMONARY 
ARTERIAL HYPERTENSION. 
 SUMMARY:4-POSSIBLE SIGNIFICANT FINDINGS, MAY NEED ACTION   
I have personally reviewed the images for this examination and agreed
with the report transcribed above.
ACCESSION NUMBER:
43848432586
This report has been anonymized. All dates are offset from the actual dates by a fixed interval associated with the patient.</x:v>
      </x:c>
      <x:c r="G145" s="28" t="str">
        <x:v>Stable</x:v>
      </x:c>
      <x:c r="H145" s="29" t="str"/>
      <x:c r="I145" s="29" t="str"/>
      <x:c r="J145" s="29" t="str"/>
      <x:c r="K145" s="30"/>
      <x:c r="L145" s="29" t="str"/>
      <x:c r="M145" s="31" t="str">
        <x:f>IF(H145="","待填写标签",IF(AND(H145="Unusable",I145=""),"需填写不可用原因",IF(J145="","需填写审核人",IF(K145="","需填写日期","完成"))))</x:f>
        <x:v>待填写标签</x:v>
      </x:c>
    </x:row>
    <x:row r="146" ht="72" customHeight="1">
      <x:c r="A146" s="25" t="n">
        <x:v>145</x:v>
      </x:c>
      <x:c r="B146" s="26" t="str">
        <x:v>review_0160</x:v>
      </x:c>
      <x:c r="C146" s="26" t="str">
        <x:v>mimic_cxr_jpg</x:v>
      </x:c>
      <x:c r="D146" s="27" t="str">
        <x:v>Pleural Effusion</x:v>
      </x:c>
      <x:c r="E146" s="27" t="str">
        <x:v>FINAL REPORT
 PA AND LATERAL CHEST, ___
 HISTORY:  ___-year-old man with coronary artery disease.
 IMPRESSION:  AP chest compared to most recent prior chest radiograph, ___:
 Lungs are low in volume but essentially clear.  Heart size is normal.  A
 convex lateral curvature to the right heart border could be due to tortuous or
 even dilated ascending thoracic aorta.  Pulmonary vasculature is normal and
 there is no pleural effusion.</x:v>
      </x:c>
      <x:c r="F146" s="27" t="str">
        <x:v>FINAL REPORT
 INDICATION:  Status post AVR and CABG with removal of his chest tube. 
 Evaluate for pneumothorax.
 COMPARISONS:  Chest radiograph from ___ at 19:46.
 TECHNIQUE:  A single upright AP view of the chest was obtained.
 FINDINGS:  Since prior exam, the endotracheal tube, enteric tube, Swan-Ganz
 catheter, and bilateral chest tubes have been removed.
 There is no pneumothorax.  Since the prior exam, the lung volumes are lower,
 accentuating by the bronchovascular structures.  Allowing for the changes in
 lung volume, mild pulmonary edema is unchanged.  Small bilateral pleural
 effusions appear grossly stable.  The cardiomediastinal silhouette has an
 expected postoperative appearance.  Sternal wires are intact.
 IMPRESSION:
 1.  Status post chest tube removal.  No pneumothorax.
 2.  Unchanged mild pulmonary edema and small bilateral pleural effusions.</x:v>
      </x:c>
      <x:c r="G146" s="28" t="str">
        <x:v>New</x:v>
      </x:c>
      <x:c r="H146" s="29" t="str"/>
      <x:c r="I146" s="29" t="str"/>
      <x:c r="J146" s="29" t="str"/>
      <x:c r="K146" s="30"/>
      <x:c r="L146" s="29" t="str"/>
      <x:c r="M146" s="31" t="str">
        <x:f>IF(H146="","待填写标签",IF(AND(H146="Unusable",I146=""),"需填写不可用原因",IF(J146="","需填写审核人",IF(K146="","需填写日期","完成"))))</x:f>
        <x:v>待填写标签</x:v>
      </x:c>
    </x:row>
    <x:row r="147" ht="72" customHeight="1">
      <x:c r="A147" s="25" t="n">
        <x:v>146</x:v>
      </x:c>
      <x:c r="B147" s="26" t="str">
        <x:v>review_0129</x:v>
      </x:c>
      <x:c r="C147" s="26" t="str">
        <x:v>mimic_cxr_jpg</x:v>
      </x:c>
      <x:c r="D147" s="27" t="str">
        <x:v>Pleural Effusion</x:v>
      </x:c>
      <x:c r="E147" s="27" t="str">
        <x:v>FINAL REPORT
 EXAMINATION:  CHEST (PORTABLE AP)
 INDICATION:  ___ year old woman with fallopian care, ARDS, intubated  //
 Interval change      Interval change
 IMPRESSION: 
 No relevant change as compared to the previous radiograph.  The pre-existing
 parenchymal opacities are constant.  Constant size of the cardiac silhouette. 
 Constant extent of a right pleural effusion.  No change in appearance of the
 cardiac silhouette.  The monitoring and support devices are stable and in
 correct position.</x:v>
      </x:c>
      <x:c r="F147" s="27" t="str">
        <x:v>FINAL REPORT
 EXAMINATION:  CHEST (PORTABLE AP)
 INDICATION:  ___ y/o F with ARDS likely due to aspiration. H/o fallopian
 cancer. clinically improving  // Interval change?     Interval change?
 IMPRESSION: 
 In comparison with the study of ___, the monitoring and support devices
 are unchanged, as is the appearance of the heart and lungs.  The appearance
 could well represent ARDS or a pulmonary vascular congestion with areas of
 consolidation and bilateral pleural effusions, more prominent on the right.</x:v>
      </x:c>
      <x:c r="G147" s="28" t="str">
        <x:v>Worse</x:v>
      </x:c>
      <x:c r="H147" s="29" t="str"/>
      <x:c r="I147" s="29" t="str"/>
      <x:c r="J147" s="29" t="str"/>
      <x:c r="K147" s="30"/>
      <x:c r="L147" s="29" t="str"/>
      <x:c r="M147" s="31" t="str">
        <x:f>IF(H147="","待填写标签",IF(AND(H147="Unusable",I147=""),"需填写不可用原因",IF(J147="","需填写审核人",IF(K147="","需填写日期","完成"))))</x:f>
        <x:v>待填写标签</x:v>
      </x:c>
    </x:row>
    <x:row r="148" ht="72" customHeight="1">
      <x:c r="A148" s="25" t="n">
        <x:v>147</x:v>
      </x:c>
      <x:c r="B148" s="26" t="str">
        <x:v>review_0033</x:v>
      </x:c>
      <x:c r="C148" s="26" t="str">
        <x:v>chexpert_plus</x:v>
      </x:c>
      <x:c r="D148" s="27" t="str">
        <x:v>Enlarged Cardiomediastinum</x:v>
      </x:c>
      <x:c r="E148" s="27" t="str">
        <x:v>NARRATIVE:
SINGLE VIEW CHEST:  02 February 1st
COMPARISON:  2-1-2002
FINDINGS:  Persistent small right pleural effusion and increased 
elevation of the right hemidiaphragm with right basilar opacity 
consistent with atelectasis.  The left lung is clear.  
Cardiomediastinal silhouette is stable with prominent tortuousity and 
ectasia  of the thoracic aorta again noted.
IMPRESSION:
1.  PERSISTENT SMALL RIGHT PLEURAL EFFUSION AND RIGHT BASILAR 
ATELECTASIS.
SUMMARY:2-ABNORMAL, PREVIOUSLY REPORTED
ACCESSION NUMBER:
PBZDEABG
This report has been anonymized. All dates are offset from the actual dates by a fixed interval associated with the patient.</x:v>
      </x:c>
      <x:c r="F148" s="27" t="str">
        <x:v>NARRATIVE:
Exam: Chest 2 Views 10-14-2008
Clinical History: 77 years Male with HypoxiA
Comparison: 10/14/2008
IMPRESSION:
1.  Single frontal view of the chest demonstrates low lung volumes 
with minimal bibasilar air space opacity possibly representing 
atelectasis.  There is stable blunting of right costophrenic angle 
possibly representing pleural thickening versus a small right-sided 
pleural effusion.
2.  The cardiomediastinal silhouette remains stable with a calcified, 
tortuous, and possibly dilated thoracic aorta similar to 2006.
3.  There is redemonstrated dextroscoliosis of the thoracic spine.
4.  Severe degenerative changes are seen in the bilateral shoulders 
with superior subluxation of the bilateral humeral heads.
SUMMARY:2-ABNORMAL, PREVIOUSLY REPORTED
I have personally reviewed the images for this examination and agreed
with the report transcribed above.
ACCESSION NUMBER:
#27864
This report has been anonymized. All dates are offset from the actual dates by a fixed interval associated with the patient.</x:v>
      </x:c>
      <x:c r="G148" s="28" t="str">
        <x:v>Stable</x:v>
      </x:c>
      <x:c r="H148" s="29" t="str"/>
      <x:c r="I148" s="29" t="str"/>
      <x:c r="J148" s="29" t="str"/>
      <x:c r="K148" s="30"/>
      <x:c r="L148" s="29" t="str"/>
      <x:c r="M148" s="31" t="str">
        <x:f>IF(H148="","待填写标签",IF(AND(H148="Unusable",I148=""),"需填写不可用原因",IF(J148="","需填写审核人",IF(K148="","需填写日期","完成"))))</x:f>
        <x:v>待填写标签</x:v>
      </x:c>
    </x:row>
    <x:row r="149" ht="72" customHeight="1">
      <x:c r="A149" s="25" t="n">
        <x:v>148</x:v>
      </x:c>
      <x:c r="B149" s="26" t="str">
        <x:v>review_0030</x:v>
      </x:c>
      <x:c r="C149" s="26" t="str">
        <x:v>chexpert_plus</x:v>
      </x:c>
      <x:c r="D149" s="27" t="str">
        <x:v>Edema</x:v>
      </x:c>
      <x:c r="E149" s="27" t="str">
        <x:v>NARRATIVE:
PORTABLE CHEST SINGLE VIEW: 5/3/08
COMPARISON: Chest x-ray 5-3-08.
CLINICAL HISTORY: Abdominal aortic aneurysm, postoperative.
FINDINGS: Interval decrease in lung volumes with bibasilar
atelectasis. Venous congestion. Nasogastric tube and right
internal jugular venous line with tip in the superior vena cava.
No pneumothorax.
IMPRESSION:
1. INTERVAL DECREASE IN LUNG VOLUMES WITH VENOUS CONGESTION AND
BIBASILAR ATELECTASIS. NO PNEUMOTHORAX.
END OF IMPRESSION:
SUMMARY:4-POSSIBLE SIGNIFICANT FINDINGS, MAY NEED ACTION
I have personally reviewed the images for this examination and agree
with the report transcribed above.
By: Kesti Derrick, MD  on: 5/3/2008
ACCESSION NUMBER:
0298264420
This report has been anonymized. All dates are offset from the actual dates by a fixed interval associated with the patient.</x:v>
      </x:c>
      <x:c r="F149" s="27" t="str">
        <x:v>NARRATIVE:
PORTABLE CHEST, SINGLE VIEW: 7-28-2021.
COMPARISON: 7/28/2021.
CLINICAL HISTORY: 71-year-old male with AAA, post-op day #1.
IMPRESSION:
1. NO CHANGE IN RIGHT INTERNAL JUGULAR CATHETER AND NASOGASTRIC
TUBE.
2. LOW LUNG VOLUMES AND PULMONARY EDEMA, UNCHANGED.
3. OPACITY SEEN IN THE LEFT COSTOPHRENIC ANGLE, WHICH COULD
REPRESENT A SMALL PLEURAL EFFUSION OR ATELECTASIS.
THIS COULD ALSO REPRESENT INFECTION. THE DIFFERENTIAL DIAGNOSIS
INCLUDES INFARCT, ALTHOUGH THIS IS LESS LIKELY. RECOMMEND CLINICAL
CORRELATION.
END OF IMPRESSION.
SUMMARY:4-POSSIBLE SIGNIFICANT FINDINGS, MAY NEED ACTION.
I have personally reviewed the images for this examination and agree
with the report transcribed above.
By: LAWRENCE, COOPER M.  on: 7-28-2021
ACCESSION NUMBER:
526070
This report has been anonymized. All dates are offset from the actual dates by a fixed interval associated with the patient.</x:v>
      </x:c>
      <x:c r="G149" s="28" t="str">
        <x:v>Stable</x:v>
      </x:c>
      <x:c r="H149" s="29" t="str"/>
      <x:c r="I149" s="29" t="str"/>
      <x:c r="J149" s="29" t="str"/>
      <x:c r="K149" s="30"/>
      <x:c r="L149" s="29" t="str"/>
      <x:c r="M149" s="31" t="str">
        <x:f>IF(H149="","待填写标签",IF(AND(H149="Unusable",I149=""),"需填写不可用原因",IF(J149="","需填写审核人",IF(K149="","需填写日期","完成"))))</x:f>
        <x:v>待填写标签</x:v>
      </x:c>
    </x:row>
    <x:row r="150" ht="72" customHeight="1">
      <x:c r="A150" s="25" t="n">
        <x:v>149</x:v>
      </x:c>
      <x:c r="B150" s="26" t="str">
        <x:v>review_0167</x:v>
      </x:c>
      <x:c r="C150" s="26" t="str">
        <x:v>chexpert_plus</x:v>
      </x:c>
      <x:c r="D150" s="27" t="str">
        <x:v>Pleural Effusion</x:v>
      </x:c>
      <x:c r="E150" s="27" t="str">
        <x:v>NARRATIVE:
EXAM: 10/7/2005 
COMPARISON: Chest radiograph dated 10-7-2005 at 4 a.m.
HISTORY: Status post typed A and B aortic dissection repair on 10-7-2005
IMPRESSION:
1.THE TRACHEOSTOMY TUBE, FEEDING TUBE, TWO RIGHT INTERNAL JUGULAR 
CENTRAL VENOUS CATHETERS, THREE MALLEABLE PLATES, MEDIAN STERNOTOMY 
WIRES ARE UNCHANGED FROM PRIOR EXAM.
2.SLIGHT INTERVAL DECREASE IN DIFFUSE PULMONARY EDEMA.  STABLE SMALL 
BILATERAL PLEURAL EFFUSIONS, LEFT GREATER THAN RIGHT.  NO 
PNEUMOTHORAX.  CARDIOMEDIASTINAL SILHOUETTE IS UNCHANGED.
SUMMARY:2-ABNORMAL, PREVIOUSLY REPORTED
I have personally reviewed the images for this examination and agreed
with the report transcribed above.
ACCESSION NUMBER:
#4657695735
This report has been anonymized. All dates are offset from the actual dates by a fixed interval associated with the patient.</x:v>
      </x:c>
      <x:c r="F150" s="27" t="str">
        <x:v>NARRATIVE:
EXAM: 3-24-2018 
COMPARISON: Chest radiograph dated 3/24/2018
HISTORY: Icu followup
IMPRESSION:
1.THE TRACHEOSTOMY TUBE, FEEDING TUBE, RIGHT INTERNAL JUGULAR CENTRAL 
VENOUS CATHETERS, AND STERNOTOMY WIRES, AND 3 MALLEABLE PLATES ARE 
UNCHANGED FROM PRIOR EXAM.
2.STABLE MODERATE LEFT PLEURAL EFFUSION AND MILD PULMONARY EDEMA.
3.INTERVAL INCREASED AERATION OF THE RIGHT LUNG BASE.  NO 
PNEUMOTHORAX.
4.CARDIAC SILHOUETTE IS UNCHANGED.
SUMMARY:2-ABNORMAL, PREVIOUSLY REPORTED
I have personally reviewed the images for this examination and agreed
with the report transcribed above.
ACCESSION NUMBER:
5265
This report has been anonymized. All dates are offset from the actual dates by a fixed interval associated with the patient.</x:v>
      </x:c>
      <x:c r="G150" s="28" t="str">
        <x:v>Worse</x:v>
      </x:c>
      <x:c r="H150" s="29" t="str"/>
      <x:c r="I150" s="29" t="str"/>
      <x:c r="J150" s="29" t="str"/>
      <x:c r="K150" s="30"/>
      <x:c r="L150" s="29" t="str"/>
      <x:c r="M150" s="31" t="str">
        <x:f>IF(H150="","待填写标签",IF(AND(H150="Unusable",I150=""),"需填写不可用原因",IF(J150="","需填写审核人",IF(K150="","需填写日期","完成"))))</x:f>
        <x:v>待填写标签</x:v>
      </x:c>
    </x:row>
    <x:row r="151" ht="72" customHeight="1">
      <x:c r="A151" s="25" t="n">
        <x:v>150</x:v>
      </x:c>
      <x:c r="B151" s="26" t="str">
        <x:v>review_0112</x:v>
      </x:c>
      <x:c r="C151" s="26" t="str">
        <x:v>mimic_cxr_jpg</x:v>
      </x:c>
      <x:c r="D151" s="27" t="str">
        <x:v>Cardiomegaly</x:v>
      </x:c>
      <x:c r="E151" s="27" t="str">
        <x:v>FINAL REPORT
 EXAMINATION:  CHEST (PORTABLE AP)
 INDICATION:  ___ year old woman with ACS  // interval change      interval
 change
 IMPRESSION: 
 In comparison with the study of ___, the Swan-Ganz catheter has been
 removed.  The IABP device is not identified.  Continued enlargement of the
 cardiac silhouette with atelectatic changes on the left.  No evidence of
 pulmonary vascular congestion.</x:v>
      </x:c>
      <x:c r="F151" s="27" t="str">
        <x:v>FINAL REPORT
 EXAMINATION:  Chest radiograph
 INDICATION:  ___ year old woman with ITP and CHF w/ hypotension  // please
 evaluate interval changes
 TECHNIQUE:  Portable AP chest radiograph
 COMPARISON:  Prior chest radiograph from ___.
 FINDINGS: 
 Since prior same day study, right PICC line tip terminates in the left
 brachiocephalic vein.  Lungs appear clear with low volumes and unchanged mild
 left basilar atelectasis.  Cardiomegaly is unchanged.  No pneumothorax,
 pleural effusion, or pulmonary edema.
 IMPRESSION:
 1. Right tip line tip terminates in the left brachiocephalic vein.
 2. Otherwise, no interval change since earlier same day radiograph.
 NOTIFICATION:   The findings were discussed by Dr. ___ with CCU RN on
 the telephoneon ___ at 11:30 AM, 10 minutes after discovery of the
 findings.</x:v>
      </x:c>
      <x:c r="G151" s="28" t="str">
        <x:v>Stable</x:v>
      </x:c>
      <x:c r="H151" s="29" t="str"/>
      <x:c r="I151" s="29" t="str"/>
      <x:c r="J151" s="29" t="str"/>
      <x:c r="K151" s="30"/>
      <x:c r="L151" s="29" t="str"/>
      <x:c r="M151" s="31" t="str">
        <x:f>IF(H151="","待填写标签",IF(AND(H151="Unusable",I151=""),"需填写不可用原因",IF(J151="","需填写审核人",IF(K151="","需填写日期","完成"))))</x:f>
        <x:v>待填写标签</x:v>
      </x:c>
    </x:row>
    <x:row r="152" ht="72" customHeight="1">
      <x:c r="A152" s="25" t="n">
        <x:v>151</x:v>
      </x:c>
      <x:c r="B152" s="26" t="str">
        <x:v>review_0155</x:v>
      </x:c>
      <x:c r="C152" s="26" t="str">
        <x:v>chexpert_plus</x:v>
      </x:c>
      <x:c r="D152" s="27" t="str">
        <x:v>Pleural Effusion</x:v>
      </x:c>
      <x:c r="E152" s="27" t="str">
        <x:v>NARRATIVE:
CHEST, SINGLE VIEW: 10/12/18
COMPARISON: 10/12/2018
IMPRESSION:
1. A LEFT SUBCLAVIAN TRANSVENOUS PACER DEFIBRILLATOR IN PLACE,
UNCHANGED. FEEDING TUBE.
2. PERSISTENT CARDIOMEGALY AND TRACE OF INTERSTITIAL PULMONARY
EDEMA.
3. LEFT LOWER LOBE ATELECTASIS, LEFT GREATER THAN RIGHT, SMALL
PLEURAL EFFUSIONS, ALL UNCHANGED FROM PRIOR.
END OF IMPRESSION:
SUMMARY: 2 ABNORMAL, PREVIOUSLY REPORTED.
ACCESSION NUMBER:
2937868
This report has been anonymized. All dates are offset from the actual dates by a fixed interval associated with the patient.</x:v>
      </x:c>
      <x:c r="F152" s="27" t="str">
        <x:v>NARRATIVE:
PORTABLE CHEST, ONE VIEW: 5-15-2011
HISTORY: 80-year-old male with history of coronary artery disease.
COMPARISON: 5/15/2011.
TECHNIQUE: Portable AP semi-erect view of the chest.
FINDINGS/
IMPRESSION:
1. STABLE APPEARANCE OF STERNOTOMY WIRES, FEEDING TUBE, AND PACER
DEFIBRILLATOR LEADS.
2. INTERVAL CHANGE IN BIBASILAR OPACIFICATION NOW WITH RIGHT BEING
WORSE THAN THE LEFT.
3. PROBABLE INTERVAL DEVELOPMENT OF A SMALL RIGHT-SIDED PLEURAL
EFFUSION.
END OF IMPRESSION:
SUMMARY: 4 POSSIBLE SIGNIFICANT FINDINGS, MAY NEED ACTION
I have personally reviewed the images for this examination and agree
with the report transcribed above.
By: Snow Michelle, MD  on: 5-15-2011
ACCESSION NUMBER:
97_00
This report has been anonymized. All dates are offset from the actual dates by a fixed interval associated with the patient.</x:v>
      </x:c>
      <x:c r="G152" s="28" t="str">
        <x:v>Worse</x:v>
      </x:c>
      <x:c r="H152" s="29" t="str"/>
      <x:c r="I152" s="29" t="str"/>
      <x:c r="J152" s="29" t="str"/>
      <x:c r="K152" s="30"/>
      <x:c r="L152" s="29" t="str"/>
      <x:c r="M152" s="31" t="str">
        <x:f>IF(H152="","待填写标签",IF(AND(H152="Unusable",I152=""),"需填写不可用原因",IF(J152="","需填写审核人",IF(K152="","需填写日期","完成"))))</x:f>
        <x:v>待填写标签</x:v>
      </x:c>
    </x:row>
    <x:row r="153" ht="72" customHeight="1">
      <x:c r="A153" s="25" t="n">
        <x:v>152</x:v>
      </x:c>
      <x:c r="B153" s="26" t="str">
        <x:v>review_0075</x:v>
      </x:c>
      <x:c r="C153" s="26" t="str">
        <x:v>mimic_cxr_jpg</x:v>
      </x:c>
      <x:c r="D153" s="27" t="str">
        <x:v>Pneumothorax</x:v>
      </x:c>
      <x:c r="E153" s="27" t="str">
        <x:v>FINAL REPORT
 CHEST RADIOGRAPHS
 HISTORY:  Cough.  Question pneumonia.
 COMPARISONS:  ___ and ___. 
 TECHNIQUE:  Chest, AP upright and lateral views.
 FINDINGS:  The cardiac, mediastinal and hilar contours appears stable.  A
 Bochdalek hernia containing colon is noted in the posterior left upper
 quadrant, similar to prior findings.  Surgical clips project over the
 epigastrium.  There is no definite pleural effusion or pneumothorax.  There is
 a similar background mild interstitial abnormality unchanged since the earlier
 prior study.
 IMPRESSION:  No evidence of acute cardiopulmonary disease.</x:v>
      </x:c>
      <x:c r="F153" s="27" t="str">
        <x:v>FINAL REPORT
 EXAMINATION:  CHEST (PORTABLE AP)
 INDICATION:  s/p left diaphragmatic repair  // EVAL FOR PNEUMOTHORAX, please
 perform upright or semi upright if possible
 TECHNIQUE:  CHEST (PORTABLE AP)
 COMPARISON:  ___
 IMPRESSION: 
 Heart size and mediastinum are stable.  There is normal position of the left
 hemidiaphragm currently seen.  There is minimal left pneumothorax, apical lung
 bases are essentially unremarkable except for unchanged interstitial
 opacities, most likely representing chronic changes.</x:v>
      </x:c>
      <x:c r="G153" s="28" t="str">
        <x:v>New</x:v>
      </x:c>
      <x:c r="H153" s="29" t="str"/>
      <x:c r="I153" s="29" t="str"/>
      <x:c r="J153" s="29" t="str"/>
      <x:c r="K153" s="30"/>
      <x:c r="L153" s="29" t="str"/>
      <x:c r="M153" s="31" t="str">
        <x:f>IF(H153="","待填写标签",IF(AND(H153="Unusable",I153=""),"需填写不可用原因",IF(J153="","需填写审核人",IF(K153="","需填写日期","完成"))))</x:f>
        <x:v>待填写标签</x:v>
      </x:c>
    </x:row>
    <x:row r="154" ht="72" customHeight="1">
      <x:c r="A154" s="25" t="n">
        <x:v>153</x:v>
      </x:c>
      <x:c r="B154" s="26" t="str">
        <x:v>review_0173</x:v>
      </x:c>
      <x:c r="C154" s="26" t="str">
        <x:v>chexpert_plus</x:v>
      </x:c>
      <x:c r="D154" s="27" t="str">
        <x:v>Pleural Effusion</x:v>
      </x:c>
      <x:c r="E154" s="27" t="str">
        <x:v>NARRATIVE:
EXAM: Chest 1 View, 4/11/21
CLINICAL HISTORY: 71-year-old male with pleural effusions.
COMPARISON: 4/11/2021 at 02:05 hours.
IMPRESSION:
1.A SINGLE SEMIUPRIGHT PORTABLE RADIOGRAPH OF THE CHEST DEMONSTRATES 
A SIMILAR APPEARANCE TO THE LINES, TUBES, AND SURGICAL MATERIALS.
2.PERSISTENT BILATERAL PLEURAL EFFUSIONS, RIGHT GREATER THAN LEFT,  
WITH BIBASILAR OPACITIES MAY REFLECT ADJACENT ATELECTASIS AND/OR 
CONSOLIDATION.
SUMMARY:2-ABNORMAL, PREVIOUSLY REPORTED
I have personally reviewed the images for this examination and agreed
with the report transcribed above.
ACCESSION NUMBER:
jk293zcd7xD
This report has been anonymized. All dates are offset from the actual dates by a fixed interval associated with the patient.</x:v>
      </x:c>
      <x:c r="F154" s="27" t="str">
        <x:v>NARRATIVE:
EXAM: Chest 1 View, 11/11/04
CLINICAL HISTORY: Postop
COMPARISON: 11/11/2004
IMPRESSION:
1.INCREASED PULMONARY EDEMA, NOW MODERATE TO SEVERE.  NEW MODERATE 
BILATERAL EFFUSIONS. 
2.STABLE CARDIOMEDIASTINAL SILHOUETTE.
3.STABLE RIGHT IJ LINE AND SHEATH, AND MEDIASTINAL DRAIN
SUMMARY: 4-POSSIBLE SIGNIFICANT FINDING, MAY NEED ACTION
I have personally reviewed the images for this examination and agreed
with the report transcribed above.
ACCESSION NUMBER:
9077138369
This report has been anonymized. All dates are offset from the actual dates by a fixed interval associated with the patient.</x:v>
      </x:c>
      <x:c r="G154" s="28" t="str">
        <x:v>Worse</x:v>
      </x:c>
      <x:c r="H154" s="29" t="str"/>
      <x:c r="I154" s="29" t="str"/>
      <x:c r="J154" s="29" t="str"/>
      <x:c r="K154" s="30"/>
      <x:c r="L154" s="29" t="str"/>
      <x:c r="M154" s="31" t="str">
        <x:f>IF(H154="","待填写标签",IF(AND(H154="Unusable",I154=""),"需填写不可用原因",IF(J154="","需填写审核人",IF(K154="","需填写日期","完成"))))</x:f>
        <x:v>待填写标签</x:v>
      </x:c>
    </x:row>
    <x:row r="155" ht="72" customHeight="1">
      <x:c r="A155" s="25" t="n">
        <x:v>154</x:v>
      </x:c>
      <x:c r="B155" s="26" t="str">
        <x:v>review_0049</x:v>
      </x:c>
      <x:c r="C155" s="26" t="str">
        <x:v>mimic_cxr_jpg</x:v>
      </x:c>
      <x:c r="D155" s="27" t="str">
        <x:v>Lung Opacity</x:v>
      </x:c>
      <x:c r="E155" s="27" t="str">
        <x:v>FINAL REPORT
 EXAMINATION:  CHEST (PA AND LAT)
 INDICATION:  ___ year old man with cabg   R ptx  // *please check at noon on
 ___*predischarge exam   follow up on R pneumothorax
 TECHNIQUE:  Chest PA and lateral
 COMPARISON:  ___
 FINDINGS: 
 There is a small right apical pneumothorax, slightly smaller than on the film
 from the prior day.  There is also a right pleural effusion that is larger
 than on the study from the prior day but is still relatively small.  The right
 IJ line is unchanged.  There is volume loss and subsegmental atelectasis in
 both lower lungs.
 IMPRESSION: 
 Small right pneumothorax, and small right pleural effusion</x:v>
      </x:c>
      <x:c r="F155" s="27" t="str">
        <x:v>FINAL REPORT
 EXAMINATION:  CHEST (PA AND LAT)
 INDICATION:  ___ year old man with s/p CABG  // follow up pleural effusion
 TECHNIQUE:  Chest two views
 COMPARISON:  ___
 FINDINGS: 
 Previously seen tiny right apical pneumothorax is not definitely seen.  There
 is a small right pleural effusion, stable.  Sternotomy.  Cardiac enlargement,
 stable.  Few linear bands of atelectasis are stable in the lower lungs. 
 Improved opacity of the left mid lung laterally.
 IMPRESSION: 
 No definite pneumothorax.
 Stable small right pleural effusion.</x:v>
      </x:c>
      <x:c r="G155" s="28" t="str">
        <x:v>Improved</x:v>
      </x:c>
      <x:c r="H155" s="29" t="str"/>
      <x:c r="I155" s="29" t="str"/>
      <x:c r="J155" s="29" t="str"/>
      <x:c r="K155" s="30"/>
      <x:c r="L155" s="29" t="str"/>
      <x:c r="M155" s="31" t="str">
        <x:f>IF(H155="","待填写标签",IF(AND(H155="Unusable",I155=""),"需填写不可用原因",IF(J155="","需填写审核人",IF(K155="","需填写日期","完成"))))</x:f>
        <x:v>待填写标签</x:v>
      </x:c>
    </x:row>
    <x:row r="156" ht="72" customHeight="1">
      <x:c r="A156" s="25" t="n">
        <x:v>155</x:v>
      </x:c>
      <x:c r="B156" s="26" t="str">
        <x:v>review_0051</x:v>
      </x:c>
      <x:c r="C156" s="26" t="str">
        <x:v>mimic_cxr_jpg</x:v>
      </x:c>
      <x:c r="D156" s="27" t="str">
        <x:v>Pleural Effusion</x:v>
      </x:c>
      <x:c r="E156" s="27" t="str">
        <x:v>FINAL REPORT
 SINGLE FRONTAL VIEW OF THE CHEST
 REASON FOR EXAM:  Patient with aspiration, advanced CHF, intubated.
 Comparison is made with prior study performed a day earlier.
 Bilateral lung consolidations larger on the right side and in the bases are
 grossly unchanged, consistent with aspiration given the clinical history. 
 Cardiomediastinal contours are unchanged.  ET tube is in a standard position. 
 Left PICC tip is in the lower SVC.  NG tube is out of view below the
 diaphragm.  The side port is in the stomach.  Bilateral effusions are
 unchanged.  There are no new lung abnormalities.</x:v>
      </x:c>
      <x:c r="F156" s="27" t="str">
        <x:v>FINAL REPORT
 EXAM:  Chest, single frontal view.
 CLINICAL INFORMATION:  Aspiration, intubated.
 COMPARISON:  ___.
 FINDINGS:  Endotracheal tube is seen, terminating approximately 6 cm above the
 level of the carina.  Enteric tube is seen coursing below the level of the
 diaphragm, inferior aspect not included on the image.  Left-sided subclavian
 central venous catheter terminates in the low SVC.  Bibasilar opacities are
 again seen, grossly stable to possibly minimally improved.  Small bilateral
 pleural effusions are stable.  Cardiac and mediastinal silhouettes are stable.</x:v>
      </x:c>
      <x:c r="G156" s="28" t="str">
        <x:v>Stable</x:v>
      </x:c>
      <x:c r="H156" s="29" t="str"/>
      <x:c r="I156" s="29" t="str"/>
      <x:c r="J156" s="29" t="str"/>
      <x:c r="K156" s="30"/>
      <x:c r="L156" s="29" t="str"/>
      <x:c r="M156" s="31" t="str">
        <x:f>IF(H156="","待填写标签",IF(AND(H156="Unusable",I156=""),"需填写不可用原因",IF(J156="","需填写审核人",IF(K156="","需填写日期","完成"))))</x:f>
        <x:v>待填写标签</x:v>
      </x:c>
    </x:row>
    <x:row r="157" ht="72" customHeight="1">
      <x:c r="A157" s="25" t="n">
        <x:v>156</x:v>
      </x:c>
      <x:c r="B157" s="26" t="str">
        <x:v>review_0197</x:v>
      </x:c>
      <x:c r="C157" s="26" t="str">
        <x:v>chexpert_plus</x:v>
      </x:c>
      <x:c r="D157" s="27" t="str">
        <x:v>Lung Opacity</x:v>
      </x:c>
      <x:c r="E157" s="27" t="str">
        <x:v>NARRATIVE:
EXAM: Chest 1 View 9/4/2019  
CLINICAL HISTORY: Intubation
COMPARISON: 7/9/2023  
IMPRESSION:
1.UNCHANGED POSITIONING OF SUPPORT DEVICES.
2.HEART SIZE IS STABLE.  BIBASILAR OPACITIES AND ELEVATION OF THE 
RIGHT HEMIDIAPHRAGM IS AGAIN SEEN.  A SMALL RIGHT PLEURAL EFFUSION IS 
PRESENT.  NO PNEUMOTHORAX.  NO ACUTE OSSEOUS ABNORMALITY.
SUMMARY:2-ABNORMAL, PREVIOUSLY REPORTED
I have personally reviewed the images for this examination and agreed
with the report transcribed above.
ACCESSION NUMBER:
6271533662
This report has been anonymized. All dates are offset from the actual dates by a fixed interval associated with the patient.</x:v>
      </x:c>
      <x:c r="F157" s="27" t="str">
        <x:v>NARRATIVE:
Exam: Chest 1 View, 11-26-2016
Clinical History: 66 years Male with Intubation
Comparison: 11/26/2016
IMPRESSION:
1.SINGLE FRONTAL CHEST RADIOGRAPH DEMONSTRATES STABLE POSITION OF THE 
MEDICAL SUPPORT DEVICES, ALTHOUGH THE INFERIOR EXTENT OF THE FEEDING 
TUBE IS NOT ASSESSED ON THIS IMAGE.
2.STABLE CARDIOMEDIASTINAL SILHOUETTE.
3.LUNG VOLUMES REMAIN LOW WITH PERSISTENT, BUT SLIGHTLY IMPROVED 
BILATERAL LUNG BASE OPACITIES, MILD RIGHT HEMIDIAPHRAGM ELEVATION, 
AND SMALL RIGHT PLEURAL EFFUSION.
SUMMARY:2-ABNORMAL, PREVIOUSLY REPORTED
I have personally reviewed the images for this examination and agreed
with the report transcribed above.
ACCESSION NUMBER:
32239987
This report has been anonymized. All dates are offset from the actual dates by a fixed interval associated with the patient.</x:v>
      </x:c>
      <x:c r="G157" s="28" t="str">
        <x:v>Improved</x:v>
      </x:c>
      <x:c r="H157" s="29" t="str"/>
      <x:c r="I157" s="29" t="str"/>
      <x:c r="J157" s="29" t="str"/>
      <x:c r="K157" s="30"/>
      <x:c r="L157" s="29" t="str"/>
      <x:c r="M157" s="31" t="str">
        <x:f>IF(H157="","待填写标签",IF(AND(H157="Unusable",I157=""),"需填写不可用原因",IF(J157="","需填写审核人",IF(K157="","需填写日期","完成"))))</x:f>
        <x:v>待填写标签</x:v>
      </x:c>
    </x:row>
    <x:row r="158" ht="72" customHeight="1">
      <x:c r="A158" s="25" t="n">
        <x:v>157</x:v>
      </x:c>
      <x:c r="B158" s="26" t="str">
        <x:v>review_0059</x:v>
      </x:c>
      <x:c r="C158" s="26" t="str">
        <x:v>chexpert_plus</x:v>
      </x:c>
      <x:c r="D158" s="27" t="str">
        <x:v>Lung Opacity</x:v>
      </x:c>
      <x:c r="E158" s="27" t="str">
        <x:v>NARRATIVE:
Exam: Chest 1 View, 11-26-16
Clinical History: 55 years old Female with critical care follow-up.
Comparison: 11-26-2016, 11/26/2016, 11/26/2016 and 2016/11.
Impression:
1.   ET TUBE, NASOGASTRIC TUBE AND CENTRAL LINES ARE UNCHANGED.
2.  SINCE 11-26-2016, THERE HAS BEEN PROGRESSIVE IMPROVEMENT IN 
AERATION OF THE LUNGS.  HOWEVER, MODERATE DIFFUSE, BILATERAL AIR 
SPACE OPACITIES REMAIN.  THESE AIRSPACE OPACITIES COULD REPRESENT 
SEVERE PULMONARY EDEMA, MULTI-LOBAR PNEUMONIA AND/OR ARDS.
3.  STABLE CARDIOMEDIASTINAL SILHOUETTE.
SUMMARY:2-ABNORMAL, PREVIOUSLY REPORTED
ACCESSION NUMBER:
7-1-8-6-6-0-8-3-1-9
This report has been anonymized. All dates are offset from the actual dates by a fixed interval associated with the patient.</x:v>
      </x:c>
      <x:c r="F158" s="27" t="str">
        <x:v>NARRATIVE:
Exam: Chest 1 View 6/29/2015
Clinical History: 55 years Female with Intubated
Comparison: 6-29-15
IMPRESSION:
1.  Single frontal view of the chest demonstrate stable lines and 
tubes.
2.  Lung volumes are slightly decreased compared to prior exam with 
redemonstration of a diffuse reticular pattern likely reflecting 
pulmonary edema versus atypical infection.  More confluent airspace 
opacity is seen at the left base, increased compared to prior exam 
and possibly representing atelectasis versus consolidation.
SUMMARY:4-POSSIBLY SIGNIFICANT FINDING, MAY NEED ACTION
I have personally reviewed the images for this examination and agreed
with the report transcribed above.
ACCESSION NUMBER:
56637
This report has been anonymized. All dates are offset from the actual dates by a fixed interval associated with the patient.</x:v>
      </x:c>
      <x:c r="G158" s="28" t="str">
        <x:v>Worse</x:v>
      </x:c>
      <x:c r="H158" s="29" t="str"/>
      <x:c r="I158" s="29" t="str"/>
      <x:c r="J158" s="29" t="str"/>
      <x:c r="K158" s="30"/>
      <x:c r="L158" s="29" t="str"/>
      <x:c r="M158" s="31" t="str">
        <x:f>IF(H158="","待填写标签",IF(AND(H158="Unusable",I158=""),"需填写不可用原因",IF(J158="","需填写审核人",IF(K158="","需填写日期","完成"))))</x:f>
        <x:v>待填写标签</x:v>
      </x:c>
    </x:row>
    <x:row r="159" ht="72" customHeight="1">
      <x:c r="A159" s="25" t="n">
        <x:v>158</x:v>
      </x:c>
      <x:c r="B159" s="26" t="str">
        <x:v>review_0200</x:v>
      </x:c>
      <x:c r="C159" s="26" t="str">
        <x:v>mimic_cxr_jpg</x:v>
      </x:c>
      <x:c r="D159" s="27" t="str">
        <x:v>Edema</x:v>
      </x:c>
      <x:c r="E159" s="27" t="str">
        <x:v>FINAL REPORT
 EXAMINATION:  CHEST (PORTABLE AP)
 INDICATION:  ___ year old man with new Left subclavian CVL  // tip      CHECK
 LEFT SUBCLAVIAN LINE TIP
 IMPRESSION: 
 Compared to prior chest radiographs, since ___, most recently ___.
 Severe cardiomegaly has improved, but pulmonary vasculature is still engorged
 an asymmetric edema, as determined by severe emphysema, is unchanged.
 ET tube, left subclavian line, nasogastric tube are in standard placements. 
 Small pleural effusions are presumed.</x:v>
      </x:c>
      <x:c r="F159" s="27" t="str">
        <x:v>FINAL REPORT
 EXAMINATION:  CHEST (PORTABLE AP)
 INDICATION:  ___ year old man with ich  // Interval chsnge      Interval chsnge
 IMPRESSION: 
 ET tube tip is 3 cm above the carinal.  Left subclavian line tip is at the
 cavoatrial junction.  Cardiomegaly and mediastinal silhouette are unchanged. 
 Interval progression of pulmonary edema is demonstrated.</x:v>
      </x:c>
      <x:c r="G159" s="28" t="str">
        <x:v>Worse</x:v>
      </x:c>
      <x:c r="H159" s="29" t="str"/>
      <x:c r="I159" s="29" t="str"/>
      <x:c r="J159" s="29" t="str"/>
      <x:c r="K159" s="30"/>
      <x:c r="L159" s="29" t="str"/>
      <x:c r="M159" s="31" t="str">
        <x:f>IF(H159="","待填写标签",IF(AND(H159="Unusable",I159=""),"需填写不可用原因",IF(J159="","需填写审核人",IF(K159="","需填写日期","完成"))))</x:f>
        <x:v>待填写标签</x:v>
      </x:c>
    </x:row>
    <x:row r="160" ht="72" customHeight="1">
      <x:c r="A160" s="25" t="n">
        <x:v>159</x:v>
      </x:c>
      <x:c r="B160" s="26" t="str">
        <x:v>review_0151</x:v>
      </x:c>
      <x:c r="C160" s="26" t="str">
        <x:v>mimic_cxr_jpg</x:v>
      </x:c>
      <x:c r="D160" s="27" t="str">
        <x:v>Pleural Effusion</x:v>
      </x:c>
      <x:c r="E160" s="27" t="str">
        <x:v>FINAL REPORT
 PA AND LATERAL VIEWS OF THE CHEST
 REASON FOR EXAM:  History of lung cancer and right middle lobe wedge
 resection, needs surveillance.
 Comparison is made with prior study, ___.
 Mild cardiomegaly is stable.  The aorta is tortuous as before.  The lungs are
 clear, and there is no pleural effusion or pneumothorax.  Surgical clips
 project in the right upper quadrant.
 IMPRESSION:  No evidence of acute cardiopulmonary abnormalities.</x:v>
      </x:c>
      <x:c r="F160" s="27" t="str">
        <x:v>FINAL REPORT
 INDICATION:  Followup pleural effusions.
 COMPARISON:  Chest radiograph from ___.
 TECHNIQUE:  Frontal and lateral chest radiographs.
 FINDINGS: 
 Small bilateral pleural effusions appear slightly improved since ___.  The heart size remains top normal. A tortuous aorta is again
 demonstrated.  There is no pneumothorax.  Bibasilar atelectasis appears
 slightly improved.  Mild degenerative changes throughout the thoracic spine
 appear stable.
 IMPRESSION: 
 Interval slight improvement of small bilateral pleural effusions.</x:v>
      </x:c>
      <x:c r="G160" s="28" t="str">
        <x:v>New</x:v>
      </x:c>
      <x:c r="H160" s="29" t="str"/>
      <x:c r="I160" s="29" t="str"/>
      <x:c r="J160" s="29" t="str"/>
      <x:c r="K160" s="30"/>
      <x:c r="L160" s="29" t="str"/>
      <x:c r="M160" s="31" t="str">
        <x:f>IF(H160="","待填写标签",IF(AND(H160="Unusable",I160=""),"需填写不可用原因",IF(J160="","需填写审核人",IF(K160="","需填写日期","完成"))))</x:f>
        <x:v>待填写标签</x:v>
      </x:c>
    </x:row>
    <x:row r="161" ht="72" customHeight="1">
      <x:c r="A161" s="25" t="n">
        <x:v>160</x:v>
      </x:c>
      <x:c r="B161" s="26" t="str">
        <x:v>review_0233</x:v>
      </x:c>
      <x:c r="C161" s="26" t="str">
        <x:v>mimic_cxr_jpg</x:v>
      </x:c>
      <x:c r="D161" s="27" t="str">
        <x:v>Edema</x:v>
      </x:c>
      <x:c r="E161" s="27" t="str">
        <x:v>FINAL REPORT
 INDICATION:  Frontal headache and mid left temporal artery tenderness.
 COMPARISONS:  ___ and ___.
 FINDINGS:  PA and lateral chest radiographs demonstrate mild cardiomegaly in
 the setting of new perihilar opacities and mild bilateral pleural effusions,
 not present on ___.  There is no pneumothorax.
 IMPRESSION:  Mild interstitial pulmonary edema.</x:v>
      </x:c>
      <x:c r="F161" s="27" t="str">
        <x:v>WET READ: ___ ___ ___ 11:42 PM
  Mild perihilar fullness persists.  There is no frank pulmonary edema. 
  Apparent airspace opacity near the left heart border likely represents
  costochondral junction.  Otherwise, no new airspace opacity is detected to
  suggest pneumonia.  There is mild bibasilar atelectasis.  The
  cardiomediastinal silhouette is stable.  Small bilateral pleural effusions
  although not well appreciated on this single frontal projection are likely
  still present.  
 ______________________________________________________________________________
                                 FINAL REPORT
 AP CHEST, 6:43 PM ON ___
 HISTORY:  ___-year-old man with fever, cough, and shortness of breath.
 IMPRESSION:  AP chest compared to ___ through ___:
 Since ___, upper lobe pulmonary vascular engorgement, borderline
 interstitial edema have resolved.  There are now several discrete areas of
 what maybe consolidation, left mid lung that could be pneumonia. 
 Opacification at the right lung apex medially has been present since ___,
 presumably tortuous head and neck vessels, confirmed by chest CT ___, when the apex had identical appearance.
 Conventional radiographs should be sufficient to follow these findings.</x:v>
      </x:c>
      <x:c r="G161" s="28" t="str">
        <x:v>Resolved</x:v>
      </x:c>
      <x:c r="H161" s="29" t="str"/>
      <x:c r="I161" s="29" t="str"/>
      <x:c r="J161" s="29" t="str"/>
      <x:c r="K161" s="30"/>
      <x:c r="L161" s="29" t="str"/>
      <x:c r="M161" s="31" t="str">
        <x:f>IF(H161="","待填写标签",IF(AND(H161="Unusable",I161=""),"需填写不可用原因",IF(J161="","需填写审核人",IF(K161="","需填写日期","完成"))))</x:f>
        <x:v>待填写标签</x:v>
      </x:c>
    </x:row>
    <x:row r="162" ht="72" customHeight="1">
      <x:c r="A162" s="25" t="n">
        <x:v>161</x:v>
      </x:c>
      <x:c r="B162" s="26" t="str">
        <x:v>review_0232</x:v>
      </x:c>
      <x:c r="C162" s="26" t="str">
        <x:v>mimic_cxr_jpg</x:v>
      </x:c>
      <x:c r="D162" s="27" t="str">
        <x:v>Pleural Effusion</x:v>
      </x:c>
      <x:c r="E162" s="27" t="str">
        <x:v>FINAL REPORT
 HISTORY:  Preoperative evaluation for gastric cancer.
 COMPARISON:  ___.
 FINDINGS:
 Single portable view of the chest demonstrates clear lungs.  Tortuous aorta is
 again demonstrated.  A left-sided PICC terminates at the cavoatrial junction. 
 The previous pulmonary congestion has improved.
 IMPRESSION:
 No evidence of acute cardiopulmonary process. Improved pulmonary congestion.</x:v>
      </x:c>
      <x:c r="F162" s="27" t="str">
        <x:v>FINAL REPORT
 CHEST, TWO VIEWS:  ___.
 HISTORY:  ___-year-old male with epigastric and right upper quadrant pain.
 FINDINGS:  Frontal and lateral views of the chest are compared to previous
 exam from ___.  Improved inspiratory effort seen on the current exam.
 The lungs are clear.  Previously seen small effusions have resolved. 
 Cardiomediastinal silhouette is within normal limits.  Prominence of the
 aortic knob is again noted as well as tortuosity of the descending thoracic
 aorta.  No free air seen below the diaphragm.  Left upper quadrant drain on
 prior is no longer seen.  Left PICC is no longer seen.  Surgical clips are
 seen in the upper abdomen.
 IMPRESSION:  No acute cardiopulmonary process.  No free air below the
 diaphragm.</x:v>
      </x:c>
      <x:c r="G162" s="28" t="str">
        <x:v>Resolved</x:v>
      </x:c>
      <x:c r="H162" s="29" t="str"/>
      <x:c r="I162" s="29" t="str"/>
      <x:c r="J162" s="29" t="str"/>
      <x:c r="K162" s="30"/>
      <x:c r="L162" s="29" t="str"/>
      <x:c r="M162" s="31" t="str">
        <x:f>IF(H162="","待填写标签",IF(AND(H162="Unusable",I162=""),"需填写不可用原因",IF(J162="","需填写审核人",IF(K162="","需填写日期","完成"))))</x:f>
        <x:v>待填写标签</x:v>
      </x:c>
    </x:row>
    <x:row r="163" ht="72" customHeight="1">
      <x:c r="A163" s="25" t="n">
        <x:v>162</x:v>
      </x:c>
      <x:c r="B163" s="26" t="str">
        <x:v>review_0025</x:v>
      </x:c>
      <x:c r="C163" s="26" t="str">
        <x:v>mimic_cxr_jpg</x:v>
      </x:c>
      <x:c r="D163" s="27" t="str">
        <x:v>Cardiomegaly</x:v>
      </x:c>
      <x:c r="E163" s="27" t="str">
        <x:v>FINAL REPORT
 HISTORY:  Shortness of breath with wheezing and CHF.
 FINDINGS:  In comparison with study of ___, there is little interval
 change.  Cardiac silhouette remains at the upper limits of normal in size
 without definite vascular congestion, pleural effusion, or acute focal
 pneumonia.</x:v>
      </x:c>
      <x:c r="F163" s="27" t="str">
        <x:v>FINAL REPORT
 HISTORY:  Epigastric pain radiating to back 
 COMPARISON:  Chest radiographs ___ through ___ 
 FINDINGS: PA and lateral chest radiographs were obtained.  Lung volumes are
 low.  There is no focal consolidation, effusion or pneumothorax.  Mild
 cardiomegaly is unchanged.  There are no new abnormal cardiac and mediastinal
 contours.  Eventration of the diaphragms is stable.
 IMPRESSION: No acute cardiopulmonary process</x:v>
      </x:c>
      <x:c r="G163" s="28" t="str">
        <x:v>Stable</x:v>
      </x:c>
      <x:c r="H163" s="29" t="str"/>
      <x:c r="I163" s="29" t="str"/>
      <x:c r="J163" s="29" t="str"/>
      <x:c r="K163" s="30"/>
      <x:c r="L163" s="29" t="str"/>
      <x:c r="M163" s="31" t="str">
        <x:f>IF(H163="","待填写标签",IF(AND(H163="Unusable",I163=""),"需填写不可用原因",IF(J163="","需填写审核人",IF(K163="","需填写日期","完成"))))</x:f>
        <x:v>待填写标签</x:v>
      </x:c>
    </x:row>
    <x:row r="164" ht="72" customHeight="1">
      <x:c r="A164" s="25" t="n">
        <x:v>163</x:v>
      </x:c>
      <x:c r="B164" s="26" t="str">
        <x:v>review_0183</x:v>
      </x:c>
      <x:c r="C164" s="26" t="str">
        <x:v>chexpert_plus</x:v>
      </x:c>
      <x:c r="D164" s="27" t="str">
        <x:v>Lung Opacity</x:v>
      </x:c>
      <x:c r="E164" s="27" t="str">
        <x:v>NARRATIVE:
CHEST, PA AND LATERAL VIEWS: 2-1-2009.
CLINICAL HISTORY: ICD9 162.9, bronchogenic carcinoma.
COMPARISON: Chest 2/1/09 and February 1, 2009, and chest CT february 1.
FINDINGS: Since 09 February 1 there has been a substantial increase in
alveolar opacity in the right remaining lung parenchyma. There is
also significant right loculated pleural fluid and/or pleural
thickening and elevated right hemidiaphragm. These are relatively
unchanged since 2/1/2009. The left hemithorax also has a small
pleural effusion, which is likely new, having not been readily
apparent on chest CT of 1 FEBRUARY. There is also the faint suggestion
of a small nodule in the left mid lung.
IMPRESSION:
1. INTERVAL INCREASED ALVEOLAR OPACITY INVOLVING MUCH OF THE
REMAINING RIGHT LUNG. THE RELATIVELY RAPID INCREASE SINCE PRIOR
CHEST CT OF 2-1-2009 SUGGESTS THIS MAY BE AN INFECTIOUS
PNEUMONIA; HOWEVER, IN THE SETTING OF PRIOR BRONCHOGENIC CARCINOMA,
OTHER POSSIBILITIES INCLUDE PULMONARY HEMORRHAGE OR EVEN
LYMPHANGITIC SPREAD OF TUMOR.
2. NEW LEFT PLEURAL EFFUSION AND POSSIBLE NEW LEFT UPPER LUNG
PULMONARY NODULE. IF DEFINITIVE EVIDENCE OF PULMONARY NODULE IS
REQUIRED, CHEST CT MAY BE NECESSARY.
3. STABLE FINDINGS OF PRIOR RIGHT BRONCHOGENIC CARCINOMA SURGERY
WITH ELEVATED RIGHT HEMIDIAPHRAGM AND PLEURAL THICKENING AND
TRACTION OF THE RIGHT HILUM AND MEDIASTINUM UNCHANGED.
4. FINDINGS AND ASSESMENT WERE DISCUSSED WITH pitts khloe, md ON
2/1/2009 AT TIME OF INTERPRETATION BY KINDELL, MACDONALD.
END OF IMPRESSION.
SUMMARY:4-POSSIBLE SIGNIFICANT FINDINGS, MAY NEED ACTION.
ACCESSION NUMBER:
6894268721
This report has been anonymized. All dates are offset from the actual dates by a fixed interval associated with the patient.</x:v>
      </x:c>
      <x:c r="F164" s="27" t="str">
        <x:v>NARRATIVE:
CHEST: 4/4/2010
COMPARISON: 7/3/2003
CLINICAL HISTORY: 83 -year-old woman with shortness of breath.
FINDINGS:
Single AP view of the chest again demonstrates mediastinal shift to
the right consistent with history of prior right lung resection for
bronchogenic carcinoma. There has been interval increase in size
of a large right pleural effusion with increased opacities of the
remaining aerated right lung, as well as development of a left
pleural effusion with retrocardiac consolidation. Additionally,
there is a more focal nodular opacity in the left midlung zone
which appears increased compared to prior examination. There is
diffuse prominence of the interstitial markings.
IMPRESSION:
1. INTERVAL INCREASE IN SIZE OF A RIGHT PLEURAL EFFUSION AS WELL AS
DEVELOPMENT OF A LEFT PLEURAL EFFUSION, ASSOCIATED WITH INCREASED
OPACITY OF THE REMAINING AERATED RIGHT LUNG AND LEFT BASE. THESE
FINDINGS MAY BE CONSISTENT WITH PROGRESSION OF THE PATIENT'S
PRIMARY DISEASE, THOUGH SUPERIMPOSED INFECTION ALSO CANNOT BE
EXCLUDED.
END OF IMPRESSION:
SUMMARY:4-POSSIBLE SIGNIFICANT FINDINGS, MAY NEED ACTION
ACCESSION NUMBER:
651377556
This report has been anonymized. All dates are offset from the actual dates by a fixed interval associated with the patient.</x:v>
      </x:c>
      <x:c r="G164" s="28" t="str">
        <x:v>Worse</x:v>
      </x:c>
      <x:c r="H164" s="29" t="str"/>
      <x:c r="I164" s="29" t="str"/>
      <x:c r="J164" s="29" t="str"/>
      <x:c r="K164" s="30"/>
      <x:c r="L164" s="29" t="str"/>
      <x:c r="M164" s="31" t="str">
        <x:f>IF(H164="","待填写标签",IF(AND(H164="Unusable",I164=""),"需填写不可用原因",IF(J164="","需填写审核人",IF(K164="","需填写日期","完成"))))</x:f>
        <x:v>待填写标签</x:v>
      </x:c>
    </x:row>
    <x:row r="165" ht="72" customHeight="1">
      <x:c r="A165" s="25" t="n">
        <x:v>164</x:v>
      </x:c>
      <x:c r="B165" s="26" t="str">
        <x:v>review_0138</x:v>
      </x:c>
      <x:c r="C165" s="26" t="str">
        <x:v>chexpert_plus</x:v>
      </x:c>
      <x:c r="D165" s="27" t="str">
        <x:v>Edema</x:v>
      </x:c>
      <x:c r="E165" s="27" t="str">
        <x:v>NARRATIVE:
PORTABLE CHEST, SINGLE VIEW: 5-4-2013.
COMPARISON: Comparison is made with exams from 5/4/2013,
5/4/2013 and 5/4/2013.
CLINICAL DATA: 27 year old male with renal failure.
IMPRESSION:
1. ENDOTRACHEAL TUBE AND NASOGASTRIC TUBE REMAIN IN PLACE. THE
LEFT INTERNAL JUGULAR LINE DISTAL TIP PASSES INFERIOR TO THE LEVEL
OF THE AORTIC ARCH AND LIKELY LIES IN A SUPREME INTERCOSTAL VEIN.
ICU TEAM NOTIFIED OF LINE PLACEMENT AT 11:30.
2. PERSISTENT PULMONARY EDEMA WITH DECREASED LEFT BASILAR OPACITY.
END OF IMPRESSION:
SUMMARY 2: Abnormal, previously reported.
I have personally reviewed the images for this examination and agree
with the report transcribed above.
By: PA-C Glenn King.  on: 5/4/2013
ACCESSION NUMBER:
#2433
This report has been anonymized. All dates are offset from the actual dates by a fixed interval associated with the patient.</x:v>
      </x:c>
      <x:c r="F165" s="27" t="str">
        <x:v>NARRATIVE:
PORTABLE CHEST: 7/4/2013 1505
PORTABLE CHEST: 7/4/13 0205
CLINICAL HISTORY: 27-year-old male with renal failure and
pneumonia.
COMPARISON: 7/4/2013 0337.
FINDINGS:
Examination of 7-4-13 at 1547 reveals interval removal of the
endotracheal tube and NG tube seen on the prior examination. Left
internal jugular venous catheter remains in place but takes an
unusual course to the left side of the mediastinum and may lie in
a supreme intercostal vein. Persistent pulmonary edema is noted.
There is worsened bibasilar opacity which may be due to
atelectasis, infection or aspiration.
Subsequent film on 7-4-2013 reveals worsened diffuse pulmonary
edema with worsened bilateral patchy opacities. Although this may
all represent worsening pulmonary edema, overlying infection is not
excluded.
A left internal jugular venous catheter remains in place with the
tip in unusual position to the left of the mediastinum.
IMPRESSION:
1. WORSENING PULMONARY EDEMA WITH WORSENING DIFFUSE PATCHY
OPACITIES IN THE LUNG WHICH MAY BE RELATED TO PULMONARY EDEMA.
OVERLYING INFECTION OR ASPIRATION IS NOT EXCLUDED.
2. THERE HAS BEEN INTERVAL REMOVAL OF THE ENDOTRACHEAL TUBE AND NG
TUBE. LEFT INTERNAL JUGULAR VENOUS CATHETER REMAINS IN PLACE AND
TAKES AN UNUSUAL COURSE TO THE LEFT SIDE OF THE MEDIASTINUM. EXACT
POSITION OF THE TIP IS UNCLEAR.
END OF IMPRESSION:
SUMMARY 4: POSSIBLE SIGNIFICANT ABNORMALITY/CHANGE, MAY NEED
ACTION.
ACCESSION NUMBER:
0784812623
This report has been anonymized. All dates are offset from the actual dates by a fixed interval associated with the patient.</x:v>
      </x:c>
      <x:c r="G165" s="28" t="str">
        <x:v>Worse</x:v>
      </x:c>
      <x:c r="H165" s="29" t="str"/>
      <x:c r="I165" s="29" t="str"/>
      <x:c r="J165" s="29" t="str"/>
      <x:c r="K165" s="30"/>
      <x:c r="L165" s="29" t="str"/>
      <x:c r="M165" s="31" t="str">
        <x:f>IF(H165="","待填写标签",IF(AND(H165="Unusable",I165=""),"需填写不可用原因",IF(J165="","需填写审核人",IF(K165="","需填写日期","完成"))))</x:f>
        <x:v>待填写标签</x:v>
      </x:c>
    </x:row>
    <x:row r="166" ht="72" customHeight="1">
      <x:c r="A166" s="25" t="n">
        <x:v>165</x:v>
      </x:c>
      <x:c r="B166" s="26" t="str">
        <x:v>review_0039</x:v>
      </x:c>
      <x:c r="C166" s="26" t="str">
        <x:v>chexpert_plus</x:v>
      </x:c>
      <x:c r="D166" s="27" t="str">
        <x:v>Edema</x:v>
      </x:c>
      <x:c r="E166" s="27" t="str">
        <x:v>NARRATIVE:
RADIOGRAPHIC EXAMINATION OF THE CHEST: October 2008
CLINICAL HISTORY: 45 years of age, Female, R chest tube placement.
COMPARISON: 10-30-08
PROCEDURE COMMENTS: Single view of the chest. 
FINDINGS:
10/30/2008
Interval placement of right-sided pigtail pleural drain. 
New small left-sided pleural effusion.  Mildly increased lucency 
within the right-sided pleural effusion, which suggests development 
of small loculated pneumothorax within the effusion. Bibasilar 
opacities may reflect atelectasis and/or effusion. Mild pulmonary 
edema.
10/30/2008
Right-sided pigtail pleural drain in unchanged position.
There has been interval drainage of the right-sided pleural effusion. 
Pneumothorax component of the effusion is no longer seen. Persistent 
mild pulmonary edema and bibasilar opacities.
IMPRESSION:
1.  Interval placement of right-sided pleural drain and drainage of 
right-sided pleural effusion.
2.  Mild pulmonary edema and new small left-sided pleural effusion.
3.  Bibasilar opacities which may reflect atelectasis and/or effusion
I have personally reviewed the images for this examination and agreed
with the report transcribed above.
ACCESSION NUMBER:
16H6I46D38J
This report has been anonymized. All dates are offset from the actual dates by a fixed interval associated with the patient.</x:v>
      </x:c>
      <x:c r="F166" s="27" t="str">
        <x:v>NARRATIVE:
RADIOGRAPHIC EXAMINATION OF THE CHEST: 4/20/18
CLINICAL HISTORY: 46 years of age, Female, Pain around chest tube 
site hgb drop.
COMPARISON: 4-20-2018
PROCEDURE COMMENTS: Single view of the chest. 
FINDINGS:
Redemonstrated right pleural pigtail catheter. Stable cardiac 
mediastinal silhouette. Persistent low lung volumes with stable 
bibasilar opacities and redemonstrated small right hydropneumothorax 
with decreased fluid component. Stable small left pleural effusion. 
Stable mild pulmonary edema. No acute bony abnormalities.    
IMPRESSION:
1.  Decreased fluid component of the small right hydropneumothorax 
with otherwise no significant interval change.
I have personally reviewed the images for this examination and agreed
with the report transcribed above.
ACCESSION NUMBER:
7325601
This report has been anonymized. All dates are offset from the actual dates by a fixed interval associated with the patient.</x:v>
      </x:c>
      <x:c r="G166" s="28" t="str">
        <x:v>Stable</x:v>
      </x:c>
      <x:c r="H166" s="29" t="str"/>
      <x:c r="I166" s="29" t="str"/>
      <x:c r="J166" s="29" t="str"/>
      <x:c r="K166" s="30"/>
      <x:c r="L166" s="29" t="str"/>
      <x:c r="M166" s="31" t="str">
        <x:f>IF(H166="","待填写标签",IF(AND(H166="Unusable",I166=""),"需填写不可用原因",IF(J166="","需填写审核人",IF(K166="","需填写日期","完成"))))</x:f>
        <x:v>待填写标签</x:v>
      </x:c>
    </x:row>
    <x:row r="167" ht="72" customHeight="1">
      <x:c r="A167" s="25" t="n">
        <x:v>166</x:v>
      </x:c>
      <x:c r="B167" s="26" t="str">
        <x:v>review_0237</x:v>
      </x:c>
      <x:c r="C167" s="26" t="str">
        <x:v>mimic_cxr_jpg</x:v>
      </x:c>
      <x:c r="D167" s="27" t="str">
        <x:v>Lung Opacity</x:v>
      </x:c>
      <x:c r="E167" s="27" t="str">
        <x:v>FINAL REPORT
 EXAMINATION:  CHEST (PORTABLE AP)
 INDICATION:  ___ year old woman with fungemia and VRE bacteremia  // Evaluate
 for pneumonia
 TECHNIQUE:  CHEST (PORTABLE AP)
 COMPARISON:  ___
 IMPRESSION: 
 Heart size and mediastinum are stable.  There is a left intra hilar opacity,
 new as compared to the previous study and potentially might represent
 developing infectious process.  No pleural effusion or pneumothorax is seen. 
 Attention to this area is recommended and preferably PA and lateral
 radiographs of the chest would be beneficial for pre size characterization.</x:v>
      </x:c>
      <x:c r="F167" s="27" t="str">
        <x:v>FINAL REPORT
 INDICATION:  ___ year old woman with ___ non-albicans fungemia,
 osteomyelitis, and L hilar infiltrate on AP cxr.  // Please eval for L hilar
 infiltrate
 TECHNIQUE:  Chest PA and lateral
 COMPARISON:  ___
 FINDINGS: 
 The previously described ihilar opacity is no longer apparent.  The lungs are
 clear.  Cardiopericardial silhouette is not enlarged.  No pleural effusions or
 pneumothorax.
 IMPRESSION: 
 No significant interval change, no hilar infiltrate.</x:v>
      </x:c>
      <x:c r="G167" s="28" t="str">
        <x:v>Resolved</x:v>
      </x:c>
      <x:c r="H167" s="29" t="str"/>
      <x:c r="I167" s="29" t="str"/>
      <x:c r="J167" s="29" t="str"/>
      <x:c r="K167" s="30"/>
      <x:c r="L167" s="29" t="str"/>
      <x:c r="M167" s="31" t="str">
        <x:f>IF(H167="","待填写标签",IF(AND(H167="Unusable",I167=""),"需填写不可用原因",IF(J167="","需填写审核人",IF(K167="","需填写日期","完成"))))</x:f>
        <x:v>待填写标签</x:v>
      </x:c>
    </x:row>
    <x:row r="168" ht="72" customHeight="1">
      <x:c r="A168" s="25" t="n">
        <x:v>167</x:v>
      </x:c>
      <x:c r="B168" s="26" t="str">
        <x:v>review_0223</x:v>
      </x:c>
      <x:c r="C168" s="26" t="str">
        <x:v>chexpert_plus</x:v>
      </x:c>
      <x:c r="D168" s="27" t="str">
        <x:v>Pneumothorax</x:v>
      </x:c>
      <x:c r="E168" s="27" t="str">
        <x:v>NARRATIVE:
FRONTAL AND LATERAL CHEST RADIOGRAPHS: 6/10/2003 AT 1432
COMPARISON: 6/10/2003 at 0805
IMPRESSION:
1. REDEMONSTRATED LEFT HYDROPNEUMOTHORAX, GROSSLY UNCHANGED IN
SIZE COMPARED WITH PRIOR STUDY.
2. REDEMONSTRATED AORTIC VALVE REPLACEMENT.
3. REDEMONSTRATED LEFT BASILAR OPACITY, LIKELY ATELECTASIS.
4. NO SIGNIFICANT INTERVAL CHANGE.
END OF IMPRESSION:
SUMMARY: 2 ABNORMAL, PREVIOUSLY REPORTED
I have personally reviewed the images for this examination and agree
with the report transcribed above.
By: Katherine, Barajas  on: 2003 june
ACCESSION NUMBER:
hi-ng-ua-dk
This report has been anonymized. All dates are offset from the actual dates by a fixed interval associated with the patient.</x:v>
      </x:c>
      <x:c r="F168" s="27" t="str">
        <x:v>NARRATIVE:
TWO VIEWS OF THE CHEST: 9-27-18
COMPARISON: 9-27-2018
CLINICAL HISTORY: A 57 year old with history of lung cancer.
IMPRESSION:
1. PA AND LATERAL VIEWS OF THE CHEST DEMONSTRATES POST-SURGICAL
CHANGES CONSISTENT WITH AORTIC VALVE REPLACEMENT.
2. INTERVAL RESOLUTION OF PREVIOUSLY NOTED LEFT APICAL PNEUMOTHORAX.
HOWEVER, THERE HAS BEEN SLIGHT INTERVAL INCREASE IN THE LEFT-SIDED
PLEURAL EFFUSION WITH INTERVAL CHANGE IN THE LEVEL OF THE AIR-FLUID
LEVEL WHICH IS SLIGHTLY HIGHER IN COMPARISON TO THE PRIOR STUDY. LEFT
BASILAR CONSOLIDATION IS STABLE.
3. CLEAR RIGHT LUNG.
END OF IMPRESSION:
SUMMARY: 2 ABNORMAL, PREVIOUSLY REPORTED
ACCESSION NUMBER:
3196734357
This report has been anonymized. All dates are offset from the actual dates by a fixed interval associated with the patient.</x:v>
      </x:c>
      <x:c r="G168" s="28" t="str">
        <x:v>Resolved</x:v>
      </x:c>
      <x:c r="H168" s="29" t="str"/>
      <x:c r="I168" s="29" t="str"/>
      <x:c r="J168" s="29" t="str"/>
      <x:c r="K168" s="30"/>
      <x:c r="L168" s="29" t="str"/>
      <x:c r="M168" s="31" t="str">
        <x:f>IF(H168="","待填写标签",IF(AND(H168="Unusable",I168=""),"需填写不可用原因",IF(J168="","需填写审核人",IF(K168="","需填写日期","完成"))))</x:f>
        <x:v>待填写标签</x:v>
      </x:c>
    </x:row>
    <x:row r="169" ht="72" customHeight="1">
      <x:c r="A169" s="25" t="n">
        <x:v>168</x:v>
      </x:c>
      <x:c r="B169" s="26" t="str">
        <x:v>review_0247</x:v>
      </x:c>
      <x:c r="C169" s="26" t="str">
        <x:v>chexpert_plus</x:v>
      </x:c>
      <x:c r="D169" s="27" t="str">
        <x:v>Pneumothorax</x:v>
      </x:c>
      <x:c r="E169" s="27" t="str">
        <x:v>NARRATIVE:
Exam: Chest 1 View, 2000/02/10
Clinical History: 52 years Female with Post-op wedge resection
Comparison: 2/10/2000
IMPRESSION:
1.AP SEMIERECT CHEST RADIOGRAPH DEMONSTRATES A NORMAL 
CARDIOMEDIASTINAL SILHOUETTE.
2.SUTURE MATERIAL IS SEEN IN THE RIGHT SUPRAHILAR REGION.  THERE IS A 
TINY RIGHT APICAL PNEUMOTHORAX.  MINIMAL BIBASAL ATELECTASIS.  THE 
LUNGS OTHERWISE APPEAR CLEAR.
3.POSTTRAUMATIC DEFORMITY OF THE LEFT PROXIMAL HUMERUS.
4.BILATERAL BREAST IMPLANTS.
SUMMARY:2-ABNORMAL, PREVIOUSLY REPORTED
ACCESSION NUMBER:
3961002786
This report has been anonymized. All dates are offset from the actual dates by a fixed interval associated with the patient.</x:v>
      </x:c>
      <x:c r="F169" s="27" t="str">
        <x:v>NARRATIVE:
Chest 1 View: 6/16/2002
HISTORY: 52 years Female, S/p wedge resction.
COMPARISON: 6-16-2002
IMPRESSION: 
1.SINGLE UPRIGHT FRONTAL CHEST RADIOGRAPH DEMONSTRATES MULTIPLE 
SUTURES PROJECTING OVER THE RIGHT MID TO UPPER LUNG ZONE, COMPATIBLE 
WITH REPORTED WEDGE RESECTION.  LUNGS ARE OTHERWISE CLEAR.
2.PREVIOUSLY NOTED SMALL RIGHT APICAL PNEUMOTHORAX NO LONGER 
VISUALIZED.  NO LEFT PNEUMOTHORAX.
3.CARDIOMEDIASTINAL SILHOUETTE IS UNREMARKABLE.
4.PRIOR LEFT UPPER RIB RESECTION IS AGAIN NOTED.
SUMMARY:2-ABNORMAL, PREVIOUSLY REPORTED 
I have personally reviewed the images for this examination and agreed
with the report transcribed above.
ACCESSION NUMBER:
HW00CKX609443
This report has been anonymized. All dates are offset from the actual dates by a fixed interval associated with the patient.</x:v>
      </x:c>
      <x:c r="G169" s="28" t="str">
        <x:v>Resolved</x:v>
      </x:c>
      <x:c r="H169" s="29" t="str"/>
      <x:c r="I169" s="29" t="str"/>
      <x:c r="J169" s="29" t="str"/>
      <x:c r="K169" s="30"/>
      <x:c r="L169" s="29" t="str"/>
      <x:c r="M169" s="31" t="str">
        <x:f>IF(H169="","待填写标签",IF(AND(H169="Unusable",I169=""),"需填写不可用原因",IF(J169="","需填写审核人",IF(K169="","需填写日期","完成"))))</x:f>
        <x:v>待填写标签</x:v>
      </x:c>
    </x:row>
    <x:row r="170" ht="72" customHeight="1">
      <x:c r="A170" s="25" t="n">
        <x:v>169</x:v>
      </x:c>
      <x:c r="B170" s="26" t="str">
        <x:v>review_0090</x:v>
      </x:c>
      <x:c r="C170" s="26" t="str">
        <x:v>mimic_cxr_jpg</x:v>
      </x:c>
      <x:c r="D170" s="27" t="str">
        <x:v>Cardiomegaly</x:v>
      </x:c>
      <x:c r="E170" s="27" t="str">
        <x:v>FINAL REPORT
 AP CHEST, 8:47 P.M. ON ___   
 HISTORY:  Clogged G-tube.  V-tach.  Check ET tube.
 IMPRESSION:  AP chest compared to ___:
 Previous large pneumoperitoneum no longer visible.  New opacification in the
 right upper lung with volume loss could be largely atelectasis but raises
 concern for pneumonia.  ET tube is in standard position, with the chin flexed.
 Upper enteric drainage tube passes into a non-distended stomach.  The gut in
 the upper abdomen remains moderately to severely distended.  Heart is
 moderately enlarged, unchanged, but there is no vascular congestion, edema or
 appreciable effusion.</x:v>
      </x:c>
      <x:c r="F170" s="27" t="str">
        <x:v>FINAL REPORT
 AP CHEST, 3:34 A.M., ___
 HISTORY:  Right IJ line partially withdrawn.
 IMPRESSION:  Right IJ line has been withdrawn, probably ends in the upper
 atrium since it is still 7 cm below the level of the carina, and would need to
 be further withdrawn 3 cm to reposition it low in the SVC.  No pneumothorax or
 pleural effusion.  Right upper lobe atelectasis has almost entirely cleared. 
 Mild cardiomegaly is stable.  ET tube in standard placement.  Upper enteric
 drainage tube passes into a non-distended stomach.  Intestinal segments in the
 upper abdomen are still moderately-to-severely distended.</x:v>
      </x:c>
      <x:c r="G170" s="28" t="str">
        <x:v>Stable</x:v>
      </x:c>
      <x:c r="H170" s="29" t="str"/>
      <x:c r="I170" s="29" t="str"/>
      <x:c r="J170" s="29" t="str"/>
      <x:c r="K170" s="30"/>
      <x:c r="L170" s="29" t="str"/>
      <x:c r="M170" s="31" t="str">
        <x:f>IF(H170="","待填写标签",IF(AND(H170="Unusable",I170=""),"需填写不可用原因",IF(J170="","需填写审核人",IF(K170="","需填写日期","完成"))))</x:f>
        <x:v>待填写标签</x:v>
      </x:c>
    </x:row>
    <x:row r="171" ht="72" customHeight="1">
      <x:c r="A171" s="25" t="n">
        <x:v>170</x:v>
      </x:c>
      <x:c r="B171" s="26" t="str">
        <x:v>review_0220</x:v>
      </x:c>
      <x:c r="C171" s="26" t="str">
        <x:v>mimic_cxr_jpg</x:v>
      </x:c>
      <x:c r="D171" s="27" t="str">
        <x:v>Enlarged Cardiomediastinum</x:v>
      </x:c>
      <x:c r="E171" s="27" t="str">
        <x:v>FINAL REPORT
 HISTORY:  Chest pain radiating to the left shoulder.
 COMPARISON:  ___.
 TECHNIQUE:  PA and lateral chest radiographs, three views.
 FINDINGS:  The heart size is normal with mild tortuosity of the thoracic
 aorta.  Hilar contours are unremarkable.  There is streaky bibasilar
 atelectasis.  There is no focal consolidation worrisome for pneumonia.  There
 is no pleural effusion or pneumothorax.  The osseous structures are grossly
 unremarkable.
 IMPRESSION:  Streaky bibasilar atelectasis.  No focal consolidation worrisome
 for pneumonia.</x:v>
      </x:c>
      <x:c r="F171" s="27" t="str">
        <x:v>FINAL REPORT
 HISTORY:  ___-year-old male with coronary artery disease status post stenting
 with 2 weeks of increasing shortness of breath and chest pain.
 COMPARISON:  ___.
 FINDINGS:
 Frontal and lateral views of the chest.  The lungs remain clear of
 consolidation, effusion, or pulmonary vascular congestion.  The
 cardiomediastinal silhouette is stable.  Hypertrophic changes are seen in the
 spine suggestive of diffuse idiopathic skeletal hyperostosis.
 IMPRESSION:
 No acute cardiopulmonary process.</x:v>
      </x:c>
      <x:c r="G171" s="28" t="str">
        <x:v>Resolved</x:v>
      </x:c>
      <x:c r="H171" s="29" t="str"/>
      <x:c r="I171" s="29" t="str"/>
      <x:c r="J171" s="29" t="str"/>
      <x:c r="K171" s="30"/>
      <x:c r="L171" s="29" t="str"/>
      <x:c r="M171" s="31" t="str">
        <x:f>IF(H171="","待填写标签",IF(AND(H171="Unusable",I171=""),"需填写不可用原因",IF(J171="","需填写审核人",IF(K171="","需填写日期","完成"))))</x:f>
        <x:v>待填写标签</x:v>
      </x:c>
    </x:row>
    <x:row r="172" ht="72" customHeight="1">
      <x:c r="A172" s="25" t="n">
        <x:v>171</x:v>
      </x:c>
      <x:c r="B172" s="26" t="str">
        <x:v>review_0028</x:v>
      </x:c>
      <x:c r="C172" s="26" t="str">
        <x:v>chexpert_plus</x:v>
      </x:c>
      <x:c r="D172" s="27" t="str">
        <x:v>Cardiomegaly</x:v>
      </x:c>
      <x:c r="E172" s="27" t="str">
        <x:v>NARRATIVE:
EXAM: 21ST JANUARY 2014 
COMPARISON: 3187274485400
HISTORY: 66 years Male with Post-op lobectomy, increased O2 
requirement overnight
IMPRESSION:
1.SEMIUPRIGHT CHEST X-RAY DEMONSTRATES STABLE SUPPORT EQUIPMENT. 
2.LOW LUNG VOLUMES WITH PERSISTENT PULMONARY EDEMA. 
3.PERSISTENT LEFT BASE OPACITY AND ELEVATED LEFT HEMIDIAPHRAGM.  
4.STABLE ENLARGEMENT OF THE CARDIOMEDIASTINAL SILHOUETTE.
SUMMARY:2-ABNORMAL, PREVIOUSLY REPORTED
I have personally reviewed the images for this examination and agreed
with the report transcribed above.
ACCESSION NUMBER:
511689757748938
This report has been anonymized. All dates are offset from the actual dates by a fixed interval associated with the patient.</x:v>
      </x:c>
      <x:c r="F172" s="27" t="str">
        <x:v>NARRATIVE:
Exam: Chest 1 View, 12-9-2002
Clinical History: 66 years Male with daily icu
Comparison: 12-9-2002
IMPRESSION:
1.AP SEMIERECT CHEST RADIOGRAPH DEMONSTRATES STABLE POSITION OF LINES 
AND TUBES.
2.MIDLINE STERNOTOMY WIRES AND STABLE CARDIOMEGALY.
3.DIFFUSE PATCHY INFILTRATES ARE SEEN THROUGHOUT THE RIGHT LUNG, WITH 
ASSOCIATED SMALL PLEURAL EFFUSION.  NO SIGNIFICANT INTERVAL CHANGE 
SINCE THE PRIOR EXAMINATION FROM 12/9/2002.
4.SURGICAL CLIPS PROJECT OVER THE LEFT HILUM, WITH ASSOCIATED VOLUME 
LOSS, PERSISTENT RETROCARDIAC OPACIFICATION, AND SMALL PLEURAL 
EFFUSION.  NO SIGNIFICANT INTERVAL CHANGE.
SUMMARY:2-ABNORMAL, PREVIOUSLY REPORTED
ACCESSION NUMBER:
20-14-45-98-05
This report has been anonymized. All dates are offset from the actual dates by a fixed interval associated with the patient.</x:v>
      </x:c>
      <x:c r="G172" s="28" t="str">
        <x:v>Stable</x:v>
      </x:c>
      <x:c r="H172" s="29" t="str"/>
      <x:c r="I172" s="29" t="str"/>
      <x:c r="J172" s="29" t="str"/>
      <x:c r="K172" s="30"/>
      <x:c r="L172" s="29" t="str"/>
      <x:c r="M172" s="31" t="str">
        <x:f>IF(H172="","待填写标签",IF(AND(H172="Unusable",I172=""),"需填写不可用原因",IF(J172="","需填写审核人",IF(K172="","需填写日期","完成"))))</x:f>
        <x:v>待填写标签</x:v>
      </x:c>
    </x:row>
    <x:row r="173" ht="72" customHeight="1">
      <x:c r="A173" s="25" t="n">
        <x:v>172</x:v>
      </x:c>
      <x:c r="B173" s="26" t="str">
        <x:v>review_0010</x:v>
      </x:c>
      <x:c r="C173" s="26" t="str">
        <x:v>mimic_cxr_jpg</x:v>
      </x:c>
      <x:c r="D173" s="27" t="str">
        <x:v>Atelectasis</x:v>
      </x:c>
      <x:c r="E173" s="27" t="str">
        <x:v>WET READ: ___ ___ ___ 8:12 AM
  Right PICC line appears to terminate near the cavoatrial junction, though poor
  inspiration and low lung volumes and portable technique distort the image. 
  Recommend correlation with PICC length marking at dressing to ensure no
  significant interval line migration.
 WET READ VERSION #1 ___ ___ ___ 9:19 PM
  Right PICC line appears to terminate near the cavoatrial junction, though poor
  inspiration and low lung volumes and portable technique distort the image. 
  Recommend correlation with PICC length marking at dressing to ensure no
  significant interval line migration.
 ______________________________________________________________________________
                                 FINAL REPORT
 EXAMINATION:  CHEST (PORTABLE AP)
 INDICATION:  ___ year old woman with PICC, accidentally moved her arm during
 dressing change, need to re-confirm the tip.  // ___ year old woman with PICC,
 accidentally moved her arm during dressing change, need to re-confirm the tip.
 ___ year old woman with PICC, accidentally moved her arm duri
 IMPRESSION: 
 THE TIP OF THE ENDOTRACHEAL TUBE LIES IN THE RIGHT ATRIUM. OTHERWISE, LOW LUNG
 VOLUMES BUT OTHERWISE LITTLE CHANGE.</x:v>
      </x:c>
      <x:c r="F173" s="27" t="str">
        <x:v>FINAL REPORT
 EXAMINATION:  CHEST (PORTABLE AP)
 INDICATION:  ___ year old woman with low sats.  // ETT position. review lung
 fields      ETT position. review lung fields
 COMPARISON:  ___
 IMPRESSION: 
 ET tube tip is 5.6 cm above the carinal.  NG tube tip is in the stomach. 
 Heart size and mediastinum are stable.  Minimal bibasal atelectasis is new. 
 There is also left supra-aortic opacity that might potentially represent area
 of atelectasis or infection.  No appreciable pleural effusion or pneumothorax
 is seen.</x:v>
      </x:c>
      <x:c r="G173" s="28" t="str">
        <x:v>New</x:v>
      </x:c>
      <x:c r="H173" s="29" t="str"/>
      <x:c r="I173" s="29" t="str"/>
      <x:c r="J173" s="29" t="str"/>
      <x:c r="K173" s="30"/>
      <x:c r="L173" s="29" t="str"/>
      <x:c r="M173" s="31" t="str">
        <x:f>IF(H173="","待填写标签",IF(AND(H173="Unusable",I173=""),"需填写不可用原因",IF(J173="","需填写审核人",IF(K173="","需填写日期","完成"))))</x:f>
        <x:v>待填写标签</x:v>
      </x:c>
    </x:row>
    <x:row r="174" ht="72" customHeight="1">
      <x:c r="A174" s="25" t="n">
        <x:v>173</x:v>
      </x:c>
      <x:c r="B174" s="26" t="str">
        <x:v>review_0111</x:v>
      </x:c>
      <x:c r="C174" s="26" t="str">
        <x:v>chexpert_plus</x:v>
      </x:c>
      <x:c r="D174" s="27" t="str">
        <x:v>Pleural Effusion</x:v>
      </x:c>
      <x:c r="E174" s="27" t="str">
        <x:v>NARRATIVE:
RADIOGRAPHIC EXAMINATION OF THE CHEST: february 2003
CLINICAL HISTORY: 48 years of age, Male, Pulm edema.
COMPARISON: Chest radiograph 2/16/03
PROCEDURE COMMENTS: Single view of the chest. 
FINDINGS:
Medical devices unchanged. Persistent, unchanged left midlung and 
retrocardiac opacities. Persistent right basilar opacity.  No new 
focal opacity. No pneumothorax. Small pulmonary edema is seen with 
fluid tracking along the left major fissure.
IMPRESSION:
1.  Unchanged left retrocardiac and basilar opacities.
2.  Right basilar atelectasis
3.  Pulmonary edema with fluid tracking along the left major fissure.
I have personally reviewed the images for this examination and agreed
with the report transcribed above.
ACCESSION NUMBER:
3566023757
This report has been anonymized. All dates are offset from the actual dates by a fixed interval associated with the patient.</x:v>
      </x:c>
      <x:c r="F174" s="27" t="str">
        <x:v>NARRATIVE:
RADIOGRAPHIC EXAMINATION OF THE CHEST: 00/12/13
CLINICAL HISTORY: 48 years of age, Male, Follow up pulmonary edema.
COMPARISON: 12-13-2000 at 5:08 AM
PROCEDURE COMMENTS: Single view of the chest. 
FINDINGS:
Swan-Ganz catheter terminates in the main pulmonary artery. ECMO 
catheter terminates within the right atrium. Right arm PICC 
terminates within the right atrium. Epicardial pacing wires. 
Sternotomy wires.
There are increased patchy opacities of the bilateral lungs. Moderate 
bilateral pleural effusions, new on the right and increased on the 
left. Moderate cardiomegaly.
IMPRESSION:
1. Increased patchy opacities of the bilateral lungs which may 
reflect worsening pulmonary edema, aspiration, drug reaction, or 
hemorrhage.
2. Moderate bilateral pleural effusions, new on the right and 
increased in size on the left.
I have personally reviewed the images for this examination and agreed
with the report transcribed above.
ACCESSION NUMBER:
K491liSH7
This report has been anonymized. All dates are offset from the actual dates by a fixed interval associated with the patient.</x:v>
      </x:c>
      <x:c r="G174" s="28" t="str">
        <x:v>Worse</x:v>
      </x:c>
      <x:c r="H174" s="29" t="str"/>
      <x:c r="I174" s="29" t="str"/>
      <x:c r="J174" s="29" t="str"/>
      <x:c r="K174" s="30"/>
      <x:c r="L174" s="29" t="str"/>
      <x:c r="M174" s="31" t="str">
        <x:f>IF(H174="","待填写标签",IF(AND(H174="Unusable",I174=""),"需填写不可用原因",IF(J174="","需填写审核人",IF(K174="","需填写日期","完成"))))</x:f>
        <x:v>待填写标签</x:v>
      </x:c>
    </x:row>
    <x:row r="175" ht="72" customHeight="1">
      <x:c r="A175" s="25" t="n">
        <x:v>174</x:v>
      </x:c>
      <x:c r="B175" s="26" t="str">
        <x:v>review_0118</x:v>
      </x:c>
      <x:c r="C175" s="26" t="str">
        <x:v>chexpert_plus</x:v>
      </x:c>
      <x:c r="D175" s="27" t="str">
        <x:v>Edema</x:v>
      </x:c>
      <x:c r="E175" s="27" t="str">
        <x:v>NARRATIVE:
ONE-VIEW CHEST:  
 COMPARISON:  Read in comparison with 9/12/2009 at 10:35 AM.
 HISTORY:  No history is given. 
 IMPRESSION:  
 1.  ENDOTRACHEAL TUBE IS IDENTIFIED WITH TIP IN THE RIGHT MAINSTEM 
BRONCHUS.  Alivia, Kocis WAS CALLED TO INFORM HER OF THIS 
FINDING AT APPROXIMATELY 10:30 AM ON 9-12-2009.  THERE HAS BEEN 
INTERVAL PLACEMENT OF A NASOGASTRIC TUBE AS WELL AS A RIGHT IJ VENOUS 
CATHETER.  
 2.  NO PNEUMOTHORAX. 
 3.  LOW LUNG VOLUMES WITH ELEVATION OF THE RIGHT HEMIDIAPHRAGM. 
 SUMMARY:4-POSSIBLE SIGNIFICANT FINDINGS, MAY NEED ACTION  
I have personally reviewed the images for this examination and agreed
with the report transcribed above.
ACCESSION NUMBER:
#7266310295
This report has been anonymized. All dates are offset from the actual dates by a fixed interval associated with the patient.</x:v>
      </x:c>
      <x:c r="F175" s="27" t="str">
        <x:v>NARRATIVE:
SINGLE VIEW OF THE CHEST:  8/7/06
 CLINICAL DATA:  A 53-year-old male with follow up chest x-ray.
 COMPARISON:  Chest x-ray 8-7-06.
 IMPRESSION:
 1.  INTERVAL REMOVAL OF ENDOTRACHEAL TUBE AND NASOGASTRIC TUBE.  
STABLE APPEARANCE OF RIGHT-SIDED IJ SHEATH AND RIGHT PICC.  
 2.  STABLE LOW LUNG VOLUMES, LARGE RIGHT-SIDED PLEURAL EFFUSION, 
SMALL LEFT-SIDED PLEURAL EFFUSION, AND ASSOCIATED COMPRESSIVE 
ATELECTASIS OF THE LUNG.  
 3.  STABLE PULMONARY EDEMA.
 SUMMARY:2-ABNORMAL, PREVIOUSLY REPORTED 
I have personally reviewed the images for this examination and agreed
with the report transcribed above.
ACCESSION NUMBER:
25032276
This report has been anonymized. All dates are offset from the actual dates by a fixed interval associated with the patient.</x:v>
      </x:c>
      <x:c r="G175" s="28" t="str">
        <x:v>New</x:v>
      </x:c>
      <x:c r="H175" s="29" t="str"/>
      <x:c r="I175" s="29" t="str"/>
      <x:c r="J175" s="29" t="str"/>
      <x:c r="K175" s="30"/>
      <x:c r="L175" s="29" t="str"/>
      <x:c r="M175" s="31" t="str">
        <x:f>IF(H175="","待填写标签",IF(AND(H175="Unusable",I175=""),"需填写不可用原因",IF(J175="","需填写审核人",IF(K175="","需填写日期","完成"))))</x:f>
        <x:v>待填写标签</x:v>
      </x:c>
    </x:row>
    <x:row r="176" ht="72" customHeight="1">
      <x:c r="A176" s="25" t="n">
        <x:v>175</x:v>
      </x:c>
      <x:c r="B176" s="26" t="str">
        <x:v>review_0249</x:v>
      </x:c>
      <x:c r="C176" s="26" t="str">
        <x:v>chexpert_plus</x:v>
      </x:c>
      <x:c r="D176" s="27" t="str">
        <x:v>Edema</x:v>
      </x:c>
      <x:c r="E176" s="27" t="str">
        <x:v>NARRATIVE:
PORTABLE CHEST, SINGLE VIEW: 02/25/2014
COMPARISON: 2-25-2014.
Results coquity.
CLINICAL HISTORY: Sixty-nine-year-old man with shortness of
breath.
IMPRESSION:
1. AP VIEW OF CHEST DATED 2/25/14 SHOWS CARDIOMEGALY.
2. EVIDENCE OF INTERSTITIAL PULMONARY EDEMA.
3. RETROCARDIAC OPACITY MAY REPRESENT PART OF THE PULMONARY EDEMA,
ALTHOUGH A AIRSPACE PROCESS SUCH AS PNEUMONIA IS NOT ABSOLUTELY
EXCLUDED. RECOMMEND PA AND LATERAL VIEW FOR FURTHER EVALUATION.
4. A FOCAL 2 CM OPACITY WITH ILL-DEFINED BORDERS IS NOTED IN THE
RIGHT MID LUNG. ALSO ATTENTION ON FOLLOW UP.
END OF IMPRESSION.
SUMMARY: 4 POSSIBLE SIGNIFICANT FINDINGS, MAY NEED ACTION
ACCESSION NUMBER:
41-51-09
This report has been anonymized. All dates are offset from the actual dates by a fixed interval associated with the patient.</x:v>
      </x:c>
      <x:c r="F176" s="27" t="str">
        <x:v>NARRATIVE:
CHEST ONE VIEW: 2-1-2009
CHEST ONE VIEW: 2/1/09
CLINICAL HISTORY: 69 -year-old male with congestive heart failure,
fever and cough.
COMPARISON: 09-1-2
FINDINGS:
Single view of the chest 2/1/2009 at 1803 (38804624556141) shows mildly
enlarged cardiac silhouette. The previously demonstrated pulmonary
edema has resolved. A patchy right midzone lung air space opacity
is unchanged.
Repeat chest x-ray 2/1/2009 at 0037 hours (glij.wBGw.z) shows interval
decrease in the right mid zone opacity compared with the prior
examination.
IMPRESSION:
1. INTERVAL RESOLUTION OF PULMONARY EDEMA.
2. DECREASE RIGHT MIDLUNG ZONE OPACITY MAY REPRESENT RESOLVING
INFECTION.
END OF IMPRESSION:
SUMMARY 4: POSSIBLE SIGNIFICANT FINDINGS, MAY NEED ACTION
ACCESSION NUMBER:
#38804624556141
This report has been anonymized. All dates are offset from the actual dates by a fixed interval associated with the patient.</x:v>
      </x:c>
      <x:c r="G176" s="28" t="str">
        <x:v>Resolved</x:v>
      </x:c>
      <x:c r="H176" s="29" t="str"/>
      <x:c r="I176" s="29" t="str"/>
      <x:c r="J176" s="29" t="str"/>
      <x:c r="K176" s="30"/>
      <x:c r="L176" s="29" t="str"/>
      <x:c r="M176" s="31" t="str">
        <x:f>IF(H176="","待填写标签",IF(AND(H176="Unusable",I176=""),"需填写不可用原因",IF(J176="","需填写审核人",IF(K176="","需填写日期","完成"))))</x:f>
        <x:v>待填写标签</x:v>
      </x:c>
    </x:row>
    <x:row r="177" ht="72" customHeight="1">
      <x:c r="A177" s="25" t="n">
        <x:v>176</x:v>
      </x:c>
      <x:c r="B177" s="26" t="str">
        <x:v>review_0128</x:v>
      </x:c>
      <x:c r="C177" s="26" t="str">
        <x:v>chexpert_plus</x:v>
      </x:c>
      <x:c r="D177" s="27" t="str">
        <x:v>Pleural Effusion</x:v>
      </x:c>
      <x:c r="E177" s="27" t="str">
        <x:v>NARRATIVE:
Chest 1 View 2/14/2009
CLINICAL HISTORY:  17 years-old Female. S/p Line placement 
COMPARISON: 2/14/2009 at 1023 hrs
IMPRESSION:
1.STABLE POSITIONING OF ESOPHAGOGASTRIC TUBE AND ENDOTRACHEAL TUBE.  
2.NEW RIGHT JUGULAR CENTRAL VENOUS CATHETER TIP POSITIONED WITHIN THE 
MID SVC.  NO PNEUMOTHORAX.
3.UNCHANGED PULMONARY AERATION.
SUMMARY:2-ABNORMAL, PREVIOUSLY REPORTED
ACCESSION NUMBER:
327414205
This report has been anonymized. All dates are offset from the actual dates by a fixed interval associated with the patient.</x:v>
      </x:c>
      <x:c r="F177" s="27" t="str">
        <x:v>NARRATIVE:
ABDOMEN:  10/23/2001
 PORTABLE CHEST:  10-23-2001 
 IMPRESSION: 
 1.  PORTABLE CHEST 10-23-2001 AT 0636 HOURS SHOWS INTERVAL PLACEMENT 
OF A FEEDING TUBE.  ET TUBE AND NG TUBES IN UNCHANGED POSITION.  
STABLE LOW LUNG VOLUMES WITH SLIGHTLY WORSENING LEFT-SIDED PLEURAL 
EFFUSION.  
 2.  SINGLE VIEW OF THE ABDOMEN DEMONSTRATES THE TIP OF THE NG TUBE 
IN THE MID STOMACH AND THE TIP OF THE FEEDING TUBE NEAR THE PYLORUS. 
 SUMMARY: 2 ABNORMAL, PREVIOUSLY REPORTED.
ACCESSION NUMBER:
96968528
This report has been anonymized. All dates are offset from the actual dates by a fixed interval associated with the patient.</x:v>
      </x:c>
      <x:c r="G177" s="28" t="str">
        <x:v>New</x:v>
      </x:c>
      <x:c r="H177" s="29" t="str"/>
      <x:c r="I177" s="29" t="str"/>
      <x:c r="J177" s="29" t="str"/>
      <x:c r="K177" s="30"/>
      <x:c r="L177" s="29" t="str"/>
      <x:c r="M177" s="31" t="str">
        <x:f>IF(H177="","待填写标签",IF(AND(H177="Unusable",I177=""),"需填写不可用原因",IF(J177="","需填写审核人",IF(K177="","需填写日期","完成"))))</x:f>
        <x:v>待填写标签</x:v>
      </x:c>
    </x:row>
    <x:row r="178" ht="72" customHeight="1">
      <x:c r="A178" s="25" t="n">
        <x:v>177</x:v>
      </x:c>
      <x:c r="B178" s="26" t="str">
        <x:v>review_0083</x:v>
      </x:c>
      <x:c r="C178" s="26" t="str">
        <x:v>chexpert_plus</x:v>
      </x:c>
      <x:c r="D178" s="27" t="str">
        <x:v>Lung Opacity</x:v>
      </x:c>
      <x:c r="E178" s="27" t="str">
        <x:v>NARRATIVE:
Exam: Chest 1 View 7/4/01
Clinical History: 94 year old Male with S/p TAVR
Comparison: Chest x-ray from 7/4/2001
IMPRESSION:
1.SINGLE FRONTAL VIEW OF THE CHEST DEMONSTRATES INTERVAL OPERATIVE 
CHANGES OF THE STERNUM AND MEDIASTINUM WITH NEW STERNOTOMY WIRES, 
MEDIASTINAL SURGICAL CLIPS AND A TRANSAORTIC AORTIC VALVE REPLACEMENT.
2.THERE IS A NEW RIGHT INTERNAL JUGULAR CENTRAL VENOUS CATHETER WITH 
ITS TIP IN THE MIDSUPERIOR VENA CAVA AND A SWAN-GANZ CATHETER WITH 
ITS TIP IN THE DISTAL MAIN PULMONARY OUTFLOW TRACT.  THERE IS NO 
RIGHT PNEUMOTHORAX.
3.ENDOTRACHEAL TUBE WITH TIP IN SATISFACTORY POSITION IN THE 
MIDTRACHEA.
4.NASOGASTRIC TUBE WHICH IS LOOPED BACK ON ITSELF IN THE DISTAL 
ESOPHAGUS WITH ITS TIP POINTING CAUDALLY, IT SHOULD BE REPOSITIONED.
5.MEDIASTINAL DRAIN IN PLACE WITH NO SIGNIFICANT PNEUMOMEDIASTINUM OR 
PNEUMOTHORAX.
6.SMALL BILATERAL PLEURAL EFFUSIONS WITH OPACITIES IN THE LUNG BASES, 
LEFT GREATER THAN RIGHT COMPATIBLE WITH ATELECTASIS.  LUNG VOLUMES 
ARE LOW.
7.PERIHILAR VASCULAR FULLNESS WITH INDISTINCTNESS OF THE PULMONARY 
VASCULATURE AND DIFFUSE RETICULAR OPACITIES SUGGESTIVE OF MILD 
PULMONARY EDEMA.
SUMMARY:4-POSSIBLY SIGNIFICANT FINDING, MAY NEED ACTION
I have personally reviewed the images for this examination and agreed
with the report transcribed above.
ACCESSION NUMBER:
er-ms-bo-gk-fs-f
This report has been anonymized. All dates are offset from the actual dates by a fixed interval associated with the patient.</x:v>
      </x:c>
      <x:c r="F178" s="27" t="str">
        <x:v>NARRATIVE:
EXAM: Chest 1 View, FEBRUARY 6 2011
CLINICAL HISTORY: 94 year old Male Every morning while in icu 
COMPARISON: 2/6/2011
IMPRESSION:
1.SEMI-UPRIGHT FRONTAL VIEW OF THE CHEST DEMONSTRATE STABLE 
POSITIONING OF THE PERCUTANEOUS AORTIC VALVE, RIGHT INTERNAL JUGULAR 
LINE, RIGHT INTERNAL JUGULAR SWAN-GANZ CATHETER, AND PERICARDIAL 
DRAIN.  THERE HAS BEEN INTERVAL REMOVAL OF THE NG TUBE AND THE 
PATIENT HAS BEEN EXTUBATED.
2.CARDIOMEDIASTINAL SILHOUETTE IS STABLE WITH PERSISTENT MILD 
PULMONARY EDEMA.
3.THERE HAS BEEN IMPROVED AERATION OF THE LEFT LUNG BASE, ALTHOUGH 
STREAKY OPACITIES REMAIN PRESENT WITH A SMALL LEFT PLEURAL EFFUSION.
SUMMARY:2-ABNORMAL, PREVIOUSLY REPORTED
I have personally reviewed the images for this examination and agreed
with the report transcribed above.
ACCESSION NUMBER:
G6S971eo94
This report has been anonymized. All dates are offset from the actual dates by a fixed interval associated with the patient.</x:v>
      </x:c>
      <x:c r="G178" s="28" t="str">
        <x:v>Improved</x:v>
      </x:c>
      <x:c r="H178" s="29" t="str"/>
      <x:c r="I178" s="29" t="str"/>
      <x:c r="J178" s="29" t="str"/>
      <x:c r="K178" s="30"/>
      <x:c r="L178" s="29" t="str"/>
      <x:c r="M178" s="31" t="str">
        <x:f>IF(H178="","待填写标签",IF(AND(H178="Unusable",I178=""),"需填写不可用原因",IF(J178="","需填写审核人",IF(K178="","需填写日期","完成"))))</x:f>
        <x:v>待填写标签</x:v>
      </x:c>
    </x:row>
    <x:row r="179" ht="72" customHeight="1">
      <x:c r="A179" s="25" t="n">
        <x:v>178</x:v>
      </x:c>
      <x:c r="B179" s="26" t="str">
        <x:v>review_0236</x:v>
      </x:c>
      <x:c r="C179" s="26" t="str">
        <x:v>chexpert_plus</x:v>
      </x:c>
      <x:c r="D179" s="27" t="str">
        <x:v>Edema</x:v>
      </x:c>
      <x:c r="E179" s="27" t="str">
        <x:v>NARRATIVE:
TECHNIQUE:
Single frontal portable view of the chest.
COMPARISON:
10/11/2014 at 1518 hours
IMPRESSION:
1. THERE HAS BEEN INTERVAL PLACEMENT OF AN ENDOTRACHEAL TUBE WITH
ITS TIP APPROXIMATELY 3.5 CM ABOVE THE CARINA. THERE HAS ALSO BEEN
PLACEMENT OF AN NG TUBE WITH ITS TIP BELOW THE DIAPHRAGM AND
INFERIOR BORDER OF THE FILM.
2. REDEMONSTRATION OF DIFFUSE INCREASED RETICULAR MARKINGS
SUGGESTING PULMONARY EDEMA POSSIBLY SUPERIMPOSED ON CHRONIC LUNG
DISEASE. ALSO, REDEMONSTRATION OF CALCIFIED HILAR LYMPH NODES.
3. THERE IS SLIGHTLY IMPROVED AERATION IN THE REGION OF THE RIGHT
COSTOPHRENIC ANGLE.
END OF IMPRESSION:
SUMMARY 4: Possible significant abnormality/change, may need
action.
I have personally reviewed the images for this examination and agree
with the report transcribed above.
By: Carly Ponce Dr..  on: 10/11/14
ACCESSION NUMBER:
EHKIS
This report has been anonymized. All dates are offset from the actual dates by a fixed interval associated with the patient.</x:v>
      </x:c>
      <x:c r="F179" s="27" t="str">
        <x:v>NARRATIVE:
PORTABLE CHEST, July 2009:
CLINICAL HISTORY:
MI.
IMPRESSION:
1. STABLE LINES AND TUBES. NO EVIDENCE OF PNEUMOTHORAX.
2. RE-DEMONSTRATION OF DIFFUSE INCREASED RETICULAR MARKINGS,
PULMONARY EDEMA SUPERIMPOSED UPON CHRONIC LUNG DISEASE. RE-
DEMONSTRATION OF CALCIFIED HILAR LYMPH NODES.
2. INCREASED PATCHY AREAS OF AIR SPACE OPACITY, INCREASING
ATELECTASIS AND/OR EDEMA.
END OF IMPRESSION:
SUMMARY 4: Possible Significant Abnormality/Change, may need
action.
I have personally reviewed the images for this examination and agree
with the report transcribed above.
By: Anmarie S, Wall  on: 2009-7-12
ACCESSION NUMBER:
1607315049
This report has been anonymized. All dates are offset from the actual dates by a fixed interval associated with the patient.</x:v>
      </x:c>
      <x:c r="G179" s="28" t="str">
        <x:v>Resolved</x:v>
      </x:c>
      <x:c r="H179" s="29" t="str"/>
      <x:c r="I179" s="29" t="str"/>
      <x:c r="J179" s="29" t="str"/>
      <x:c r="K179" s="30"/>
      <x:c r="L179" s="29" t="str"/>
      <x:c r="M179" s="31" t="str">
        <x:f>IF(H179="","待填写标签",IF(AND(H179="Unusable",I179=""),"需填写不可用原因",IF(J179="","需填写审核人",IF(K179="","需填写日期","完成"))))</x:f>
        <x:v>待填写标签</x:v>
      </x:c>
    </x:row>
    <x:row r="180" ht="72" customHeight="1">
      <x:c r="A180" s="25" t="n">
        <x:v>179</x:v>
      </x:c>
      <x:c r="B180" s="26" t="str">
        <x:v>review_0181</x:v>
      </x:c>
      <x:c r="C180" s="26" t="str">
        <x:v>mimic_cxr_jpg</x:v>
      </x:c>
      <x:c r="D180" s="27" t="str">
        <x:v>Cardiomegaly</x:v>
      </x:c>
      <x:c r="E180" s="27" t="str">
        <x:v>FINAL REPORT
 CHEST RADIOGRAPHS
 HISTORY:  Left arm pain.
 COMPARISONS:  None.
 TECHNIQUE:  Chest, PA and lateral.
 FINDINGS:  The heart is mildly enlarged.  The aorta is slightly tortuous.  The
 arch is calcified.  Otherwise, the mediastinal and hilar contours appear
 unchanged.  The lungs are mildly hyperinflated.  There is no pleural effusion
 or pneumothorax.  There is a vague patchy right basilar opacity, most
 suggestive of minor scarring or atelectasis.  Otherwise, the lungs appear
 clear.  Small osteophytes are noted along the thoracic spine.
 IMPRESSION:  Opacity in the right lower lung suggesting minor atelectasis or
 scarring.  Mild cardiomegaly.</x:v>
      </x:c>
      <x:c r="F180" s="27" t="str">
        <x:v>FINAL REPORT
 HISTORY:  Abdominal pain, shortness of breath.  
 TECHNIQUE:  Frontal and lateral chest radiographs.  
 COMPARISON:  Comparison is made to chest radiograph dated ___.  
 FINDINGS:
 Increased interstitail markings are seen in the lungs with most confluent
 basilar opacities most significant at the right lung base.  There is a small
 to moderate right-sided pleural effusion with adjacent atelectasis, and a
 probable small left pleural effusion.  There is no evidence of pneumothorax. 
 Mild cardiomegaly is unchanged.  Redemonstrated is a left pectoral pacemaker
 with 2 intact leads seen terminating within the right atrium and right
 ventricle, respectively. A right upper extremity vascular stent is noted. 
 IMPRESSION:
 Cardiomegaly and mild pulmonary edema.  More confluent basilar opacities in
 part due to effusions and atelectasis although infection is also possible.</x:v>
      </x:c>
      <x:c r="G180" s="28" t="str">
        <x:v>Improved</x:v>
      </x:c>
      <x:c r="H180" s="29" t="str"/>
      <x:c r="I180" s="29" t="str"/>
      <x:c r="J180" s="29" t="str"/>
      <x:c r="K180" s="30"/>
      <x:c r="L180" s="29" t="str"/>
      <x:c r="M180" s="31" t="str">
        <x:f>IF(H180="","待填写标签",IF(AND(H180="Unusable",I180=""),"需填写不可用原因",IF(J180="","需填写审核人",IF(K180="","需填写日期","完成"))))</x:f>
        <x:v>待填写标签</x:v>
      </x:c>
    </x:row>
    <x:row r="181" ht="72" customHeight="1">
      <x:c r="A181" s="25" t="n">
        <x:v>180</x:v>
      </x:c>
      <x:c r="B181" s="26" t="str">
        <x:v>review_0058</x:v>
      </x:c>
      <x:c r="C181" s="26" t="str">
        <x:v>chexpert_plus</x:v>
      </x:c>
      <x:c r="D181" s="27" t="str">
        <x:v>Lung Opacity</x:v>
      </x:c>
      <x:c r="E181" s="27" t="str">
        <x:v>NARRATIVE:
SINGLE VIEW OF THE CHEST:  4/23/2013
 COMPARISON:  Prior chest 4/23/13.
 CLINICAL HISTORY:  56-year-old male with history of shortness of 
breath and hypoxemia.
 IMPRESSION:
 1.  STABLE POSITION OF SUPPORT DEVICES WITH REDEMONSTRATION OF 
ENDOTRACHEAL TUBE, NG TUBE, FEEDING TUBE, RIGHT IJ LINE, MEDIAN 
STERNOTOMY WIRES, AND PROSTHETIC VALVES.  
 2.  OVERALL, NO SIGNIFICANT INTERVAL CHANGE, WITH PERSISTENT 
OPACIFICATION OF THE RIGHT UPPER LOBE AND RIGHT MID LUNG ZONE.  THERE 
IS REDEMONSTRATION OF PULMONARY EDEMA AND BILATERAL PLEURAL 
EFFUSIONS, LEFT-GREATER-THAN-RIGHT.  THE CARDIOMEDIASTINAL SILHOUETTE 
IS STABLE.  
 SUMMARY:2-ABNORMAL, PREVIOUSLY REPORTED 
I have personally reviewed the images for this examination and agreed
with the report transcribed above.
ACCESSION NUMBER:
4963513
This report has been anonymized. All dates are offset from the actual dates by a fixed interval associated with the patient.</x:v>
      </x:c>
      <x:c r="F181" s="27" t="str">
        <x:v>NARRATIVE:
PORTABLE SINGLE VIEW OF THE CHEST: 2016/07 LOYALHANNA THERAPEUTICS 2005 HOURS.
 COMPARISON: 7/28/16.
 CLINICAL DATA: Trialysis catheter placement. 
 IMPRESSION:
 1. RIGHT INTERNAL JUGULAR VENOUS LINE, TIP AT THE CAVOATRIAL 
JUNCTION. REMAINING LINES AND TUBES ARE STABLE IN POSITION. 
 2. UNCHANGED PATCHY AIRSPACE OPACITY THROUGHOUT THE RIGHT LUNG 
PREDOMINANTLY WITHIN THE RIGHT UPPER LOBE WHICH IS UNCHANGED. STABLE 
RETROCARDIAC OPACITY ON THE LEFT.
 3. UNCHANGED PULMONARY EDEMA WITH BILATERAL PLEURAL EFFUSIONS, LEFT 
GREATER THAN RIGHT. 
 SUMMARY:4-POSSIBLE SIGNIFICANT FINDINGS, MAY NEED ACTION 
I have personally reviewed the images for this examination and agreed
with the report transcribed above.
ACCESSION NUMBER:
023467934
This report has been anonymized. All dates are offset from the actual dates by a fixed interval associated with the patient.</x:v>
      </x:c>
      <x:c r="G181" s="28" t="str">
        <x:v>Stable</x:v>
      </x:c>
      <x:c r="H181" s="29" t="str"/>
      <x:c r="I181" s="29" t="str"/>
      <x:c r="J181" s="29" t="str"/>
      <x:c r="K181" s="30"/>
      <x:c r="L181" s="29" t="str"/>
      <x:c r="M181" s="31" t="str">
        <x:f>IF(H181="","待填写标签",IF(AND(H181="Unusable",I181=""),"需填写不可用原因",IF(J181="","需填写审核人",IF(K181="","需填写日期","完成"))))</x:f>
        <x:v>待填写标签</x:v>
      </x:c>
    </x:row>
    <x:row r="182" ht="72" customHeight="1">
      <x:c r="A182" s="25" t="n">
        <x:v>181</x:v>
      </x:c>
      <x:c r="B182" s="26" t="str">
        <x:v>review_0227</x:v>
      </x:c>
      <x:c r="C182" s="26" t="str">
        <x:v>chexpert_plus</x:v>
      </x:c>
      <x:c r="D182" s="27" t="str">
        <x:v>Pneumothorax</x:v>
      </x:c>
      <x:c r="E182" s="27" t="str">
        <x:v>NARRATIVE:
Chest 1 View 12/01/2006
CLINICAL HISTORY:  Male, 52 years-old; Postop.
COMPARISON: 2006 1st December
IMPRESSION:
1.FRONTAL UPRIGHT VIEW OF THE CHEST DEMONSTRATES STABLE EPIDURAL 
CATHETER AND LEFT-SIDED CHEST TUBE.
2.BIBASILAR OPACITIES AND SMALL LEFT-SIDED PLEURAL EFFUSION CONTINUE.
3.A SMALL LEFT APICAL PNEUMOTHORAX CONTINUES.
SUMMARY 2: ABNORMAL, PREVIOUSLY REPORTED.
I have personally reviewed the images for this examination and agreed
with the report transcribed above.
ACCESSION NUMBER:
48182
This report has been anonymized. All dates are offset from the actual dates by a fixed interval associated with the patient.</x:v>
      </x:c>
      <x:c r="F182" s="27" t="str">
        <x:v>NARRATIVE:
Chest 2 Views 5/3/2018 
COMPARISON: 5-3-2018
HISTORY: 52 years Male with S/p thoracic surgery
IMPRESSION: 
1.IMPROVED AERATION OF THE LEFT LUNG BASE WITH RESIDUAL LEFT LOWER 
LOBE ATELECTASIS AND LEFT PLEURAL EFFUSION.
2.PREVIOUSLY SEEN LEFT PNEUMOTHORAX IS NO LONGER VISUALIZED.
3.STABLE RIGHT DISTAL CLAVICULAR RESECTION OR OSTEOLYSIS. 
SUMMARY: 2-ABNORMAL, PREVIOUSLY REPORTED 
I have personally reviewed the images for this examination and agreed
with the report transcribed above.
ACCESSION NUMBER:
96-69-94-61-54-6
This report has been anonymized. All dates are offset from the actual dates by a fixed interval associated with the patient.</x:v>
      </x:c>
      <x:c r="G182" s="28" t="str">
        <x:v>Resolved</x:v>
      </x:c>
      <x:c r="H182" s="29" t="str"/>
      <x:c r="I182" s="29" t="str"/>
      <x:c r="J182" s="29" t="str"/>
      <x:c r="K182" s="30"/>
      <x:c r="L182" s="29" t="str"/>
      <x:c r="M182" s="31" t="str">
        <x:f>IF(H182="","待填写标签",IF(AND(H182="Unusable",I182=""),"需填写不可用原因",IF(J182="","需填写审核人",IF(K182="","需填写日期","完成"))))</x:f>
        <x:v>待填写标签</x:v>
      </x:c>
    </x:row>
    <x:row r="183" ht="72" customHeight="1">
      <x:c r="A183" s="25" t="n">
        <x:v>182</x:v>
      </x:c>
      <x:c r="B183" s="26" t="str">
        <x:v>review_0016</x:v>
      </x:c>
      <x:c r="C183" s="26" t="str">
        <x:v>chexpert_plus</x:v>
      </x:c>
      <x:c r="D183" s="27" t="str">
        <x:v>Lung Opacity</x:v>
      </x:c>
      <x:c r="E183" s="27" t="str">
        <x:v>NARRATIVE:
RADIOGRAPHIC EXAMINATION OF THE CHEST: 6/11/2018
CLINICAL HISTORY: 50 years of age, Male, Postop.
COMPARISON: 6/11/2018
PROCEDURE COMMENTS: Single view of the chest. 
FINDINGS:
Persistent left chest tube extending to the pulmonary apex, with 
persistent small left apical pneumothorax without evidence of 
tension. No substantial pleural effusions.
Stable cardiomediastinal silhouette, heterogeneous patchy opacities 
projecting throughout the left lung, and fine left-sided metallic 
pulmonary surgical sutures. Metallic coronary stent is again seen 
projecting over the cardiac silhouette.
IMPRESSION:
1.  Persistent left apical pneumothorax without evidence of tension, 
in patient with left chest tube and evidence of left-sided pulmonary 
surgery.
Physician to Physician Radiology Consult Line: (278) 153-3102
ACCESSION NUMBER:
53300000481160
This report has been anonymized. All dates are offset from the actual dates by a fixed interval associated with the patient.</x:v>
      </x:c>
      <x:c r="F183" s="27" t="str">
        <x:v>NARRATIVE:
RADIOGRAPHIC EXAMINATION OF THE CHEST: 12-30-2018
CLINICAL HISTORY: 50 years of age, Male, Follow up left pleural 
effusion.
COMPARISON: 12-30-2018 at 11:18 AM
PROCEDURE COMMENTS: Single view of the chest. 
FINDINGS:
Persistent small left pneumothorax. Fine left surgical pulmonary 
sutures again noted. Slightly increased small left pleural effusion. 
Ill-defined opacities within the left mid and lower lung zone could 
represent atelectasis associated with the pneumothorax although other 
processes such as infection or aspiration are also considered. Heart 
size and pulmonary vascular caliber are within normal limits.
IMPRESSION:
1.  Persistent small left pneumothorax.
2.  Increased left pleural effusion, with increased heterogeneous 
opacities within the left mid and lower lung zones that could 
represent atelectasis although aspiration or infection are not 
excluded.
Physician to Physician Radiology Consult Line: (266) 211-5779
ACCESSION NUMBER:
1145
This report has been anonymized. All dates are offset from the actual dates by a fixed interval associated with the patient.</x:v>
      </x:c>
      <x:c r="G183" s="28" t="str">
        <x:v>Worse</x:v>
      </x:c>
      <x:c r="H183" s="29" t="str"/>
      <x:c r="I183" s="29" t="str"/>
      <x:c r="J183" s="29" t="str"/>
      <x:c r="K183" s="30"/>
      <x:c r="L183" s="29" t="str"/>
      <x:c r="M183" s="31" t="str">
        <x:f>IF(H183="","待填写标签",IF(AND(H183="Unusable",I183=""),"需填写不可用原因",IF(J183="","需填写审核人",IF(K183="","需填写日期","完成"))))</x:f>
        <x:v>待填写标签</x:v>
      </x:c>
    </x:row>
    <x:row r="184" ht="72" customHeight="1">
      <x:c r="A184" s="25" t="n">
        <x:v>183</x:v>
      </x:c>
      <x:c r="B184" s="26" t="str">
        <x:v>review_0135</x:v>
      </x:c>
      <x:c r="C184" s="26" t="str">
        <x:v>mimic_cxr_jpg</x:v>
      </x:c>
      <x:c r="D184" s="27" t="str">
        <x:v>Pleural Effusion</x:v>
      </x:c>
      <x:c r="E184" s="27" t="str">
        <x:v>FINAL REPORT
 EXAMINATION:  CHEST (PORTABLE AP)
 INDICATION:  ___ year old man with bilateral subdural hematomas  // ?stability
 COMPARISON:  ___
 IMPRESSION: 
 As compared to the previous radiograph, the known left basal parenchymal
 opacity has slightly increased in extent and severity.  No other changes are
 noted.  Normal size of the cardiac silhouette. Normal position of the
 endotracheal tube.  Unchanged normal position of the nasogastric tube and the
 right central venous access line.</x:v>
      </x:c>
      <x:c r="F184" s="27" t="str">
        <x:v>FINAL REPORT
 EXAMINATION:  CHEST (PORTABLE AP)
 INDICATION:  ___ year old man with subdural and pneumonia  // lung volumes
 TECHNIQUE:  CHEST (PORTABLE AP)
 COMPARISON:  ___
 IMPRESSION: 
 ET tube tip is 4 cm above the carinal. Right central venous line tip is at the
 level of mid SVC. Heart size and mediastinum are stable. Left basal
 consolidation pleural effusion are unchanged.  No pneumothorax is demonstrated</x:v>
      </x:c>
      <x:c r="G184" s="28" t="str">
        <x:v>New</x:v>
      </x:c>
      <x:c r="H184" s="29" t="str"/>
      <x:c r="I184" s="29" t="str"/>
      <x:c r="J184" s="29" t="str"/>
      <x:c r="K184" s="30"/>
      <x:c r="L184" s="29" t="str"/>
      <x:c r="M184" s="31" t="str">
        <x:f>IF(H184="","待填写标签",IF(AND(H184="Unusable",I184=""),"需填写不可用原因",IF(J184="","需填写审核人",IF(K184="","需填写日期","完成"))))</x:f>
        <x:v>待填写标签</x:v>
      </x:c>
    </x:row>
    <x:row r="185" ht="72" customHeight="1">
      <x:c r="A185" s="25" t="n">
        <x:v>184</x:v>
      </x:c>
      <x:c r="B185" s="26" t="str">
        <x:v>review_0100</x:v>
      </x:c>
      <x:c r="C185" s="26" t="str">
        <x:v>chexpert_plus</x:v>
      </x:c>
      <x:c r="D185" s="27" t="str">
        <x:v>Edema</x:v>
      </x:c>
      <x:c r="E185" s="27" t="str">
        <x:v>NARRATIVE:
RADIOGRAPHIC EXAMINATION OF THE CHEST: 11-19-09
CLINICAL HISTORY: 51 years of age, Female, Critical Care 
follow-up(ICU).
COMPARISON: 11-19-2009, 11-19-09
PROCEDURE COMMENTS: Single view of the chest. 
FINDINGS:
Chest x-ray 11-19-2009 at 2047: Tip of ET tube 2 cm above Carina; 
feeding tube, right dialysis catheter, and right PICC line remain in 
place. Interval development of complete opacification left hemithorax 
with mediastinum in midline. Interval change likely represents in 
large narrowing left pleural effusion with component of left lung 
atelectasis. Small right-sided pleural effusion also seen.
Chest x-ray 11-19-2009/ at 0 39: Medical devices stable. Complete 
opacification of left hemithorax again seen with persistent small, 
right-sided pleural effusion.
Abdomen 11-19-2009 at 00 42: Dedicated film to evaluate feeding tube 
placement demonstrates tip in region of duodenal bulb.
IMPRESSION:
1.  Complete opacification left hemithorax likely representing 
combination of large left pleural effusion and left lung atelectasis 
given midline position of mediastinum.
2.  Feeding tube in region of duodenal bulb.
ACCESSION NUMBER:
28352288
This report has been anonymized. All dates are offset from the actual dates by a fixed interval associated with the patient.</x:v>
      </x:c>
      <x:c r="F185" s="27" t="str">
        <x:v>NARRATIVE:
RADIOGRAPHIC EXAMINATION OF THE CHEST: 2-21-2009
CLINICAL HISTORY: 51 years of age, Female, ETT.
COMPARISON: 2/21/2009.
PROCEDURE COMMENTS: Single view of the chest. 
FINDINGS:
The distal tip of the endotracheal tube is now identified 3.0 cm 
above the carina. Lines and tubes are otherwise unchanged. There is a 
large left pleural effusion with probable adjacent compressive 
atelectasis, which is decreased in size as compared with the prior 
study with interval increased aeration within the left upper lobe. 
Mild pulmonary edema has resolved as compared with the prior study. 
There is no pneumothorax.
IMPRESSION:
1.  Large left pleural effusion with probable adjacent compressive 
atelectasis is improved as compared with the prior study with 
interval increased aeration within the left upper lobe.
2.  Mild pulmonary edema has resolved as compared with the prior 
study.
I have personally reviewed the images for this examination and agreed
with the report transcribed above.
ACCESSION NUMBER:
76365006406
This report has been anonymized. All dates are offset from the actual dates by a fixed interval associated with the patient.</x:v>
      </x:c>
      <x:c r="G185" s="28" t="str">
        <x:v>Resolved</x:v>
      </x:c>
      <x:c r="H185" s="29" t="str"/>
      <x:c r="I185" s="29" t="str"/>
      <x:c r="J185" s="29" t="str"/>
      <x:c r="K185" s="30"/>
      <x:c r="L185" s="29" t="str"/>
      <x:c r="M185" s="31" t="str">
        <x:f>IF(H185="","待填写标签",IF(AND(H185="Unusable",I185=""),"需填写不可用原因",IF(J185="","需填写审核人",IF(K185="","需填写日期","完成"))))</x:f>
        <x:v>待填写标签</x:v>
      </x:c>
    </x:row>
    <x:row r="186" ht="72" customHeight="1">
      <x:c r="A186" s="25" t="n">
        <x:v>185</x:v>
      </x:c>
      <x:c r="B186" s="26" t="str">
        <x:v>review_0134</x:v>
      </x:c>
      <x:c r="C186" s="26" t="str">
        <x:v>chexpert_plus</x:v>
      </x:c>
      <x:c r="D186" s="27" t="str">
        <x:v>Edema</x:v>
      </x:c>
      <x:c r="E186" s="27" t="str">
        <x:v>NARRATIVE:
EXAM: Chest 1 View, 6/23/2017
CLINICAL HISTORY:  Male of 53 years of age, status post intubation.  
COMPARISON: June 23, 2017
IMPRESSION:
1.SINGLE FRONTAL VIEW OF THE CHEST DEMONSTRATES STABLE RIGHT INTERNAL 
JUGULAR LINE.  FEEDING TUBE TIP IS BELOW THE INFERIOR MARGIN OF FILM.
2.STABLE PATCHY AIRSPACE OPACITIES IN BOTH LUNGS, WITH CONFLUENCE IN 
THE RETROCARDIAC REGION.
3.STABLE COARSE RETICULAR PATTERN IN THE LUNGS, WHICH COULD REFLECT 
MILD PULMONARY EDEMA.
SUMMARY:2-ABNORMAL, PREVIOUSLY REPORTED
I have personally reviewed the images for this examination and agreed
with the report transcribed above.
ACCESSION NUMBER:
80200419800
This report has been anonymized. All dates are offset from the actual dates by a fixed interval associated with the patient.</x:v>
      </x:c>
      <x:c r="F186" s="27" t="str">
        <x:v>NARRATIVE:
Exam: Chest 1 View, 6-13-2004
Clinical History: 53 years Male with Intubated
Comparison: 6/13/04
IMPRESSION:
1.MINOR PULMONARY VASCULAR CONGESTION IS SEEN, SLIGHTLY DECREASED.
2.PERSISTENT BIBASILAR SUBSEGMENTAL PULMONARY 
ATELECTASIS/CONSOLIDATION IS EVIDENT.  
3.THERE IS MILD TO MODERATE CARDIOMEGALY, NOT SIGNIFICANTLY CHANGED.
4.RIGHT JUGULAR CENTRAL VENOUS CATHETER AND FEEDING TUBE ARE AGAIN 
NOTED IN PLACE.
SUMMARY:2-ABNORMAL, PREVIOUSLY REPORTED
ACCESSION NUMBER:
egMvdqIK
This report has been anonymized. All dates are offset from the actual dates by a fixed interval associated with the patient.</x:v>
      </x:c>
      <x:c r="G186" s="28" t="str">
        <x:v>Improved</x:v>
      </x:c>
      <x:c r="H186" s="29" t="str"/>
      <x:c r="I186" s="29" t="str"/>
      <x:c r="J186" s="29" t="str"/>
      <x:c r="K186" s="30"/>
      <x:c r="L186" s="29" t="str"/>
      <x:c r="M186" s="31" t="str">
        <x:f>IF(H186="","待填写标签",IF(AND(H186="Unusable",I186=""),"需填写不可用原因",IF(J186="","需填写审核人",IF(K186="","需填写日期","完成"))))</x:f>
        <x:v>待填写标签</x:v>
      </x:c>
    </x:row>
    <x:row r="187" ht="72" customHeight="1">
      <x:c r="A187" s="25" t="n">
        <x:v>186</x:v>
      </x:c>
      <x:c r="B187" s="26" t="str">
        <x:v>review_0063</x:v>
      </x:c>
      <x:c r="C187" s="26" t="str">
        <x:v>mimic_cxr_jpg</x:v>
      </x:c>
      <x:c r="D187" s="27" t="str">
        <x:v>Pneumothorax</x:v>
      </x:c>
      <x:c r="E187" s="27" t="str">
        <x:v>WET READ: ___ ___ ___ 2:58 PM
  Moderate to large left sided pneumothorax measuring approximately 7.4 cm in
  greatest dimension.  There is mild rightward mediastinal shift on expiratory
  view, however there is no mediastinal shift on inspiratory view.
 ______________________________________________________________________________
                                 FINAL REPORT
 EXAMINATION:   CHEST (PORTABLE AP)
 INDICATION:  History: ___M with presenting with pneumothorax, s/p L lobe
 resection ___ for mediastinal mass.  Evaluate pneumothorax.
 TECHNIQUE:  Single portable AP view of the chest.
 COMPARISON:  Chest radiograph ___.
 FINDINGS: 
 Patient is status post left lower lobe resection, with a moderate to large
 left-sided pneumothorax measuring approximately 7.4 cm in greatest dimension. 
 On expiratory view, there is mild rightward mediastinal shift.  On inspiratory
 view, there is no mediastinal shift.  Left lower lobe opacity is likely a
 combination of atelectasis and postsurgical change, including fluid.  The
 right lung is grossly clear.  New electronic device projects over the left
 perihilar region.
 IMPRESSION: 
 Moderate to large left sided pneumothorax measuring approximately 7.4 cm in
 greatest dimension.  There is mild rightward mediastinal shift on expiratory
 view, however there is no mediastinal shift on inspiratory view.</x:v>
      </x:c>
      <x:c r="F187" s="27" t="str">
        <x:v>FINAL REPORT
 EXAMINATION:  CHEST (PORTABLE AP)
 INDICATION:  ___M s/p L VATS thymectomy now w/ L PTX, s/p pigtail placement  //
 eval CT placement, PTX
 COMPARISON:  Prior exam from earlier today.
 FINDINGS: 
 AP portable upright view of the chest.   Interval placement of a left pigtail
 chest tube with re-expansion of the left lung.  There is a persistent left
 hydropneumothorax though the pneumothorax component is significantly
 diminished from prior.  Right lung is clear.  Heart size and mediastinal
 contours are unchanged.  Bony structures are intact.
 IMPRESSION: 
 Status post left pigtail chest tube placement with re-expansion of the left
 lung and persistent small hydropneumothorax.</x:v>
      </x:c>
      <x:c r="G187" s="28" t="str">
        <x:v>Improved</x:v>
      </x:c>
      <x:c r="H187" s="29" t="str"/>
      <x:c r="I187" s="29" t="str"/>
      <x:c r="J187" s="29" t="str"/>
      <x:c r="K187" s="30"/>
      <x:c r="L187" s="29" t="str"/>
      <x:c r="M187" s="31" t="str">
        <x:f>IF(H187="","待填写标签",IF(AND(H187="Unusable",I187=""),"需填写不可用原因",IF(J187="","需填写审核人",IF(K187="","需填写日期","完成"))))</x:f>
        <x:v>待填写标签</x:v>
      </x:c>
    </x:row>
    <x:row r="188" ht="72" customHeight="1">
      <x:c r="A188" s="25" t="n">
        <x:v>187</x:v>
      </x:c>
      <x:c r="B188" s="26" t="str">
        <x:v>review_0115</x:v>
      </x:c>
      <x:c r="C188" s="26" t="str">
        <x:v>chexpert_plus</x:v>
      </x:c>
      <x:c r="D188" s="27" t="str">
        <x:v>Consolidation</x:v>
      </x:c>
      <x:c r="E188" s="27" t="str">
        <x:v>NARRATIVE:
SINGLE VIEW PORTABLE CHEST: 1/22/2002
CLINICAL HISTORY: 60-year-old male with febrile neutropenia.
COMPARISON: 1-22-02
IMPRESSION:
1. SINGLE AP VIEW OF THE CHEST REDEMONSTRATES A LEFT UPPER
EXTREMITY PICC LINE WITH DISTAL TIP IN THE DISTAL SUPERIOR VENA
CAVA. REDEMONSTRATION OF MILD INTERSTITIAL PULMONARY EDEMA. NO
FOCAL CONSOLIDATIONS. NO PLEURAL EFFUSIONS.
END OF IMPRESSION:
SUMMARY: 2 ABNORMAL, PREVIOUSLY REPORTED
I have personally reviewed the images for this examination and agree
with the report transcribed above.
By: Bennett, Jacob  on: 2002/22/1
ACCESSION NUMBER:
33672924514
This report has been anonymized. All dates are offset from the actual dates by a fixed interval associated with the patient.</x:v>
      </x:c>
      <x:c r="F188" s="27" t="str">
        <x:v>NARRATIVE:
CHEST:
COMPARISON: 3/28/2014
FINDINGS:
The right PICC line is more inferior in the region of the vena cava
just above the right atrium. The trachea is midline. The
mediastinum appears to be widened. The heart is normal in size and
contour. Subsegmental atelectasis is present at the left lung
base.
There is an increased dense consolidation involving the right lower
lobe.
No effusion, contusion or pneumothorax. Minimal parenchymal
infiltration is probably also present in the right middle lobe.
IMPRESSION:
1. SIGNIFICANTLY INCREASED CONSOLIDATION PRESENT IN AN EXTENSIVE
INFILTRATE IN THE RIGHT LOWER LOBE WHICH HAS SHOWN PROGRESS SINCE
28 MARCH 2014.
2. higgins, prince AT BEEPER 13963 NOTIFIED AT 1:20
P.M.
THE PATIENT IS TO BE ADMITTED TO THE HOSPITAL AND FOLLOW-UP
EXAMINATIONS OBTAINED.
END OF IMPRESSION:
SUMMARY 4: POSSIBLE SIGNIFICANT FINDINGS, MAY NEED ACTION
ACCESSION NUMBER:
A1Z78D15
This report has been anonymized. All dates are offset from the actual dates by a fixed interval associated with the patient.</x:v>
      </x:c>
      <x:c r="G188" s="28" t="str">
        <x:v>New</x:v>
      </x:c>
      <x:c r="H188" s="29" t="str"/>
      <x:c r="I188" s="29" t="str"/>
      <x:c r="J188" s="29" t="str"/>
      <x:c r="K188" s="30"/>
      <x:c r="L188" s="29" t="str"/>
      <x:c r="M188" s="31" t="str">
        <x:f>IF(H188="","待填写标签",IF(AND(H188="Unusable",I188=""),"需填写不可用原因",IF(J188="","需填写审核人",IF(K188="","需填写日期","完成"))))</x:f>
        <x:v>待填写标签</x:v>
      </x:c>
    </x:row>
    <x:row r="189" ht="72" customHeight="1">
      <x:c r="A189" s="25" t="n">
        <x:v>188</x:v>
      </x:c>
      <x:c r="B189" s="26" t="str">
        <x:v>review_0062</x:v>
      </x:c>
      <x:c r="C189" s="26" t="str">
        <x:v>mimic_cxr_jpg</x:v>
      </x:c>
      <x:c r="D189" s="27" t="str">
        <x:v>Lung Opacity</x:v>
      </x:c>
      <x:c r="E189" s="27" t="str">
        <x:v>FINAL REPORT
 PA AND LATERAL VIEWS OF THE CHEST
 REASON FOR EXAM:  CAD, low ejection fraction, dyspnea, cough, and question of
 retrocardiac abnormality.  Assess for pneumonia.
 Comparison is made to the prior study, ___.
 Moderate-to-severe cardiomegaly is stable.  Pacer leads are in standard
 position.  Vascular congestion has resolved.  Bibasilar opacities are a
 combination of moderate bilateral pleural effusions associated with adjacent
 atelectasis, larger on the left.  These are unchanged from prior studies,
 allowing the difference in positioning of the patient.  Right PICC tip is in
 the mid-to-lower SVC.</x:v>
      </x:c>
      <x:c r="F189" s="27" t="str">
        <x:v>FINAL REPORT
 HISTORY:  Patient with CHF, COPD and recent pneumonia as well as renal failure
 now getting dialysis who has new leukocytosis, question pneumonia.
 COMPARISON:  ___.
 FINDINGS:
 There is been interval placement of a right hemodialysis catheter in the
 internal jugular vein with the tip in the lower SVC.  A right PICC line is in
 unchanged position in the low SVC.  Left transvenous pacemaker with leads in
 the expected position of the right atrium and right ventricle is unchanged. 
 Bibasilar opacities, left greater than right are likely related to pleural
 effusion and associated atelectasis and are slightly worse when compared to
 the prior study.  The cardiomediastinal silhouette is stably enlarged.  No
 focal consolidation or pneumothorax is present.
 IMPRESSION:
 1.  No pneumonia.
 2.  Worsening bibasilar opacities, likely related to pleural effusions with
 associated atelectasis.</x:v>
      </x:c>
      <x:c r="G189" s="28" t="str">
        <x:v>Worse</x:v>
      </x:c>
      <x:c r="H189" s="29" t="str"/>
      <x:c r="I189" s="29" t="str"/>
      <x:c r="J189" s="29" t="str"/>
      <x:c r="K189" s="30"/>
      <x:c r="L189" s="29" t="str"/>
      <x:c r="M189" s="31" t="str">
        <x:f>IF(H189="","待填写标签",IF(AND(H189="Unusable",I189=""),"需填写不可用原因",IF(J189="","需填写审核人",IF(K189="","需填写日期","完成"))))</x:f>
        <x:v>待填写标签</x:v>
      </x:c>
    </x:row>
    <x:row r="190" ht="72" customHeight="1">
      <x:c r="A190" s="25" t="n">
        <x:v>189</x:v>
      </x:c>
      <x:c r="B190" s="26" t="str">
        <x:v>review_0078</x:v>
      </x:c>
      <x:c r="C190" s="26" t="str">
        <x:v>chexpert_plus</x:v>
      </x:c>
      <x:c r="D190" s="27" t="str">
        <x:v>Enlarged Cardiomediastinum</x:v>
      </x:c>
      <x:c r="E190" s="27" t="str">
        <x:v>NARRATIVE:
EXAM: CHEST 1 VIEW, 8/27/2001.
HISTORY: 82 YEARS MALE, REMOVAL OF RIGHT CHEST TUBE..
COMPARISON: 8/27/01.
IMPRESSION:
1.SINCE THE PRIOR EXAM, THERE IS IMPROVED AERATION IN THE RIGHT APEX, 
WITH A STABLE ABNORMAL CONVEX CONTOUR OF THE RIGHT HILUM. CARDIAC 
SILHOUETTE AND VASCULARITY ARE WITHIN NORMAL LIMITS.
2.RIGHT CHEST TUBE HAS BEEN REMOVED, NO PNEUMOTHORAX.
SUMMARY:2-ABNORMAL, PREVIOUSLY REPORTED
I have personally reviewed the images for this examination and agreed
with the report transcribed above.
ACCESSION NUMBER:
3-3-7-1-1-2-9-1
This report has been anonymized. All dates are offset from the actual dates by a fixed interval associated with the patient.</x:v>
      </x:c>
      <x:c r="F190" s="27" t="str">
        <x:v>NARRATIVE:
EXAM: Chest 1 View 12-24-2020
CLINICAL HISTORY: Postop
COMPARISON: 12-24-2020.
IMPRESSION:
1.STABLE ABNORMAL CARDIOMEDIASTINAL SILHOUETTE WITH SURGICAL CLIPS IN 
THE REGION OF THE RIGHT HILUM.  THE RIGHT PARAMEDIASTINAL OPACITY 
APPEARS UNCHANGED.  STABLE ELEVATION OF THE RIGHT HEMIDIAPHRAGM WITH 
RIGHT BASE OPACITY.  INTERVAL SLIGHT INCREASE IN AERATION OF THE 
RIGHT UPPER LUNG ZONE.  SMALL RIGHT PLEURAL EFFUSION PERSIST.  THE 
LEFT LUNG APPEARS CLEAR.  NO PNEUMOTHORAX.
SUMMARY:2-ABNORMAL, PREVIOUSLY REPORTED
I have personally reviewed the images for this examination and agreed
with the report transcribed above.
ACCESSION NUMBER:
DZAXOLPGVU
This report has been anonymized. All dates are offset from the actual dates by a fixed interval associated with the patient.</x:v>
      </x:c>
      <x:c r="G190" s="28" t="str">
        <x:v>New</x:v>
      </x:c>
      <x:c r="H190" s="29" t="str"/>
      <x:c r="I190" s="29" t="str"/>
      <x:c r="J190" s="29" t="str"/>
      <x:c r="K190" s="30"/>
      <x:c r="L190" s="29" t="str"/>
      <x:c r="M190" s="31" t="str">
        <x:f>IF(H190="","待填写标签",IF(AND(H190="Unusable",I190=""),"需填写不可用原因",IF(J190="","需填写审核人",IF(K190="","需填写日期","完成"))))</x:f>
        <x:v>待填写标签</x:v>
      </x:c>
    </x:row>
    <x:row r="191" ht="72" customHeight="1">
      <x:c r="A191" s="25" t="n">
        <x:v>190</x:v>
      </x:c>
      <x:c r="B191" s="26" t="str">
        <x:v>review_0065</x:v>
      </x:c>
      <x:c r="C191" s="26" t="str">
        <x:v>mimic_cxr_jpg</x:v>
      </x:c>
      <x:c r="D191" s="27" t="str">
        <x:v>Atelectasis</x:v>
      </x:c>
      <x:c r="E191" s="27" t="str">
        <x:v>FINAL REPORT
 HISTORY:  ___-year-old male with COPD and recent left lower lobe pneumonia on
 CT.  Evaluate for resolution or worsening of infiltrate seen on CT.
 COMPARISON:  Chest radiograph dated ___ and chest CT dated ___.  
 FINDINGS:
 Frontal and lateral chest radiographs demonstrate hyperinflated lungs with
 flattening of bilateral diaphragms consistent with patient's known history of
 COPD.  When compared to chest radiograph dated ___, there is
 redemonstration of left lower lobe scarring and atelectasis and persistent
 peribronchial increased density concerning for infectious process.  There is
 no pleural effusion or pneumothorax.  The cardiomediastinal and hilar contours
 are unchanged with note made of of tortuous descending aorta.  
 IMPRESSION:
 Left lower lobe persistent peribronchial opacification concerning for
 peristent infectious process. 
 These findings were communicated to the ordering physician via ___
 clinical portal.</x:v>
      </x:c>
      <x:c r="F191" s="27" t="str">
        <x:v>FINAL REPORT
 INDICATION:  Previous left lower lobe pneumonia, question aspiration.
 COMPARISON:  ___ and chest CT on ___.
 FINDINGS:  PA and lateral views of the chest.  The peribronchial streaky
 opacities in the left lower lobe are slightly decreased.  Band-like
 atelectasis in left lower lobe is unchanged.  There is a possible new vague
 opacity in the right lower lobe; however, this may represent overlapping
 shadows from the anterior ribs and vessels.  The upper lung zones are clear. 
 There is no pneumothorax or pleural effusion.  There is minimal elevation of
 the left hemidiaphragm.  The cardiomediastinal and hilar contours are normal.
 IMPRESSION:
 1.  Slight decrease in left lower lobe streaky opacities consistent with prior
 pneumonia.  This may represent scarring or possibly chronic aspiration.
 2.  Vague right lower lobe opacity may represent a confluence of shadows. 
 Recommend oblique views for better evaluation.  
 These findings were discussed with Dr. ___ by Dr. ___ at 2:07 p.m. on
 ___ by telephone.</x:v>
      </x:c>
      <x:c r="G191" s="28" t="str">
        <x:v>Stable</x:v>
      </x:c>
      <x:c r="H191" s="29" t="str"/>
      <x:c r="I191" s="29" t="str"/>
      <x:c r="J191" s="29" t="str"/>
      <x:c r="K191" s="30"/>
      <x:c r="L191" s="29" t="str"/>
      <x:c r="M191" s="31" t="str">
        <x:f>IF(H191="","待填写标签",IF(AND(H191="Unusable",I191=""),"需填写不可用原因",IF(J191="","需填写审核人",IF(K191="","需填写日期","完成"))))</x:f>
        <x:v>待填写标签</x:v>
      </x:c>
    </x:row>
    <x:row r="192" ht="72" customHeight="1">
      <x:c r="A192" s="25" t="n">
        <x:v>191</x:v>
      </x:c>
      <x:c r="B192" s="26" t="str">
        <x:v>review_0156</x:v>
      </x:c>
      <x:c r="C192" s="26" t="str">
        <x:v>chexpert_plus</x:v>
      </x:c>
      <x:c r="D192" s="27" t="str">
        <x:v>Pleural Effusion</x:v>
      </x:c>
      <x:c r="E192" s="27" t="str">
        <x:v>NARRATIVE:
CHEST, ONE VIEW: 12-7-2010.
IMPRESSION:
1. AP PORTABLE CHEST WITHOUT COMPARISONS DEMONSTRATES A NORMAL
CARDIOMEDIASTINAL SILHOUETTE AND CLEAR LUNGS. NEGATIVE FOR EDEMA,
FOCAL OPACITY, OR PLEURAL EFFUSIONS.
END OF IMPRESSION:
SUMMARY: 2 ABNORMAL, PREVIOUSLY REPORTED
ACCESSION NUMBER:
c0dt908T3
This report has been anonymized. All dates are offset from the actual dates by a fixed interval associated with the patient.</x:v>
      </x:c>
      <x:c r="F192" s="27" t="str">
        <x:v>NARRATIVE:
CHEST TWO VIEWS: 6/12/2002 0950 hours
CLINICAL HISTORY: 48 -year-old male with history of ALL.
COMPARISON: 6/12/2002
TECHNIQUE: Single portable AP upright view of the chest.
IMPRESSION:
1. TUNNELED RIGHT INTERNAL JUGULAR CENTRAL VENOUS CATHETER AND
CERVICAL FUSION HARDWARE ARE UNCHANGED.
2. INTERVAL DEVELOPMENT OF PULMONARY EDEMA WITH KERLEY B LINES SEEN
ON THE LATERAL VIEW.
3. INTERVAL DEVELOPMENT OF SMALL BILATERAL PLEURAL EFFUSIONS.
END OF IMPRESSION:
SUMMARY 4: POSSIBLE SIGNIFICANT FINDINGS, MAY NEED ACTION
I have personally reviewed the images for this examination and agree
with the report transcribed above.
By: Mckinley, CRNP  on: 6/12/2002
ACCESSION NUMBER:
oJRjtA
This report has been anonymized. All dates are offset from the actual dates by a fixed interval associated with the patient.</x:v>
      </x:c>
      <x:c r="G192" s="28" t="str">
        <x:v>New</x:v>
      </x:c>
      <x:c r="H192" s="29" t="str"/>
      <x:c r="I192" s="29" t="str"/>
      <x:c r="J192" s="29" t="str"/>
      <x:c r="K192" s="30"/>
      <x:c r="L192" s="29" t="str"/>
      <x:c r="M192" s="31" t="str">
        <x:f>IF(H192="","待填写标签",IF(AND(H192="Unusable",I192=""),"需填写不可用原因",IF(J192="","需填写审核人",IF(K192="","需填写日期","完成"))))</x:f>
        <x:v>待填写标签</x:v>
      </x:c>
    </x:row>
    <x:row r="193" ht="72" customHeight="1">
      <x:c r="A193" s="25" t="n">
        <x:v>192</x:v>
      </x:c>
      <x:c r="B193" s="26" t="str">
        <x:v>review_0095</x:v>
      </x:c>
      <x:c r="C193" s="26" t="str">
        <x:v>chexpert_plus</x:v>
      </x:c>
      <x:c r="D193" s="27" t="str">
        <x:v>Edema</x:v>
      </x:c>
      <x:c r="E193" s="27" t="str">
        <x:v>NARRATIVE:
CHEST: 5/28/2016
COMPARISON: 5/28/2016
IMPRESSION:
1. NO SIGNIFICANT INTERVAL CHANGE. PULMONARY EDEMA.
END OF IMPRESSION:
I have personally reviewed the images for this examination and agree
with the report transcribed above.
By: Mosley, Megan  on: 2016/5/28
ACCESSION NUMBER:
#0841
This report has been anonymized. All dates are offset from the actual dates by a fixed interval associated with the patient.</x:v>
      </x:c>
      <x:c r="F193" s="27" t="str">
        <x:v>NARRATIVE:
CHEST ONE VIEW: 10/6/200
COMPARISON: Chest one view 11-11-05.
CLINICAL HISTORY: 71-year-old male with congestive heart failure.
Check for infiltrates.
IMPRESSION:
1. BIBASILAR ATELECTASIS, LEFT GREATER THAN RIGHT.
2. DECREASED PULMONARY EDEMA.
END OF IMPRESSION:
SUMMARY: 4 POSSIBLE SIGNIFICANT FINDINGS, MAY NEED ACTION
I have personally reviewed the images for this examination and agree
with the report transcribed above.
By: Nicholson Jaymian, MD  on: 11/11
 __________________________________
ACCESSION NUMBER:
7155-8477-334
This report has been anonymized. All dates are offset from the actual dates by a fixed interval associated with the patient.</x:v>
      </x:c>
      <x:c r="G193" s="28" t="str">
        <x:v>Improved</x:v>
      </x:c>
      <x:c r="H193" s="29" t="str"/>
      <x:c r="I193" s="29" t="str"/>
      <x:c r="J193" s="29" t="str"/>
      <x:c r="K193" s="30"/>
      <x:c r="L193" s="29" t="str"/>
      <x:c r="M193" s="31" t="str">
        <x:f>IF(H193="","待填写标签",IF(AND(H193="Unusable",I193=""),"需填写不可用原因",IF(J193="","需填写审核人",IF(K193="","需填写日期","完成"))))</x:f>
        <x:v>待填写标签</x:v>
      </x:c>
    </x:row>
    <x:row r="194" ht="72" customHeight="1">
      <x:c r="A194" s="25" t="n">
        <x:v>193</x:v>
      </x:c>
      <x:c r="B194" s="26" t="str">
        <x:v>review_0193</x:v>
      </x:c>
      <x:c r="C194" s="26" t="str">
        <x:v>mimic_cxr_jpg</x:v>
      </x:c>
      <x:c r="D194" s="27" t="str">
        <x:v>Pneumonia</x:v>
      </x:c>
      <x:c r="E194" s="27" t="str">
        <x:v>FINAL REPORT
 EXAMINATION:  CHEST (PORTABLE AP)
 INDICATION:  ___ year old man with increasing WBC ? source  // Source
 IMPRESSION: 
 Allowing for marked patient rotation, cardiomediastinal contours are stable. 
 Moderate bilateral pleural effusions are similar on the right and increased on
 the left with adjacent bibasilar opacities.  Previously identified
 heterogeneous opacities in the right upper and mid lung have improved in the
 interval.</x:v>
      </x:c>
      <x:c r="F194" s="27" t="str">
        <x:v>WET READ: ___ ___ ___ 9:18 PM
  Right lower lobe opacity appears slightly more dense than the earlier studies,
  while right upper and right middle lobe opacities have improved.  In this
  patient with leukocytosis and a clinical concern for infection, this finding
  is concerning for developing pneumonia.  The left lung is grossly clear.
  The above findings were communicated via telephone by Dr. ___ to Dr.
  ___ at 21:15 on ___, ___ min after discovery at the time of her
  call.
 ______________________________________________________________________________
                                 FINAL REPORT
 EXAMINATION:  CHEST (PA AND LAT)
 INDICATION:  ___M cecal volvulus w perf s/p R colectomy and primary anastomosis
 ___  // ?pleural effusions, ?pulm edema ?pneumonia      ?pleural effusions,
 ?pulm edema ?pneumonia
 IMPRESSION: 
 Compared to chest radiographs ___ through ___.
 Previously severe pneumonia in the right lung has improved over the past
 several days, accompanied by persistent moderate right pleural effusion. 
 Small left pleural effusion developed since ___, subsequently stable.  No
 pulmonary edema.  Mild cardiomegaly is chronic.
 Transvenous right ventricular pacer lead in standard placement.  Intended
 right atrial lead is directed posteriorly, probably intecepts the inter atrial
 septum, as documented by chest CT most recently ___.</x:v>
      </x:c>
      <x:c r="G194" s="28" t="str">
        <x:v>Improved</x:v>
      </x:c>
      <x:c r="H194" s="29" t="str"/>
      <x:c r="I194" s="29" t="str"/>
      <x:c r="J194" s="29" t="str"/>
      <x:c r="K194" s="30"/>
      <x:c r="L194" s="29" t="str"/>
      <x:c r="M194" s="31" t="str">
        <x:f>IF(H194="","待填写标签",IF(AND(H194="Unusable",I194=""),"需填写不可用原因",IF(J194="","需填写审核人",IF(K194="","需填写日期","完成"))))</x:f>
        <x:v>待填写标签</x:v>
      </x:c>
    </x:row>
    <x:row r="195" ht="72" customHeight="1">
      <x:c r="A195" s="25" t="n">
        <x:v>194</x:v>
      </x:c>
      <x:c r="B195" s="26" t="str">
        <x:v>review_0073</x:v>
      </x:c>
      <x:c r="C195" s="26" t="str">
        <x:v>chexpert_plus</x:v>
      </x:c>
      <x:c r="D195" s="27" t="str">
        <x:v>Pleural Effusion</x:v>
      </x:c>
      <x:c r="E195" s="27" t="str">
        <x:v>NARRATIVE:
FRONTAL VIEW OF THE CHEST:   7/15/2009 at 2109 hours 
 FRONTAL VIEW OF THE CHEST:   7-15-2009 at 0502 hours 
 COMPARISON:   Frontal view of the chest dated 7/15/2009 at 0511 
hours.  
 CLINICAL HISTORY:   A 79-year-old male critical care followup.  
 IMPRESSION:  
 1.  STABLE APPEARANCE OF ENDOTRACHEAL TUBE, RIGHT INTERNAL JUGULAR 
VENOUS CATHETER, AND NASOGASTRIC TUBE.  THE TIP CAN BE TRACED TO THE 
DISTAL ESOPHAGUS.  
 2.  PERSISTENT CONSOLIDATION OF THE BILATERAL BASES WITH BILATERAL 
PLEURAL EFFUSIONS, RIGHT GREATER THAN LEFT.  
 3.  FOCAL OPACITY IN THE RIGHT UPPER LOBE PERSISTS.  
 SUMMARY:2-ABNORMAL, PREVIOUSLY REPORTED 
I have personally reviewed the images for this examination and agreed
with the report transcribed above.
ACCESSION NUMBER:
5052
This report has been anonymized. All dates are offset from the actual dates by a fixed interval associated with the patient.</x:v>
      </x:c>
      <x:c r="F195" s="27" t="str">
        <x:v>NARRATIVE:
SINGLE VIEW OF THE CHEST:  11/12/2019
 CLINICAL HISTORY:  PICC placement.
 COMPARISON:  11/12/2019
 IMPRESSION:
 1.  INTERVAL PLACEMENT OF RIGHT SUBCLAVIAN PICC CENTRAL VENOUS 
CATHETER WITH THE TIP 4 CM BELOW THE CARINA.  NO PNEUMOTHORAX.  
 2.  PERSISTENT BILATERAL PULMONARY OPACITIES AND PLEURAL EFFUSIONS, 
UNCHANGED.  
 SUMMARY:4-POSSIBLE SIGNIFICANT FINDINGS, MAY NEED ACTION
ACCESSION NUMBER:
655336809
This report has been anonymized. All dates are offset from the actual dates by a fixed interval associated with the patient.</x:v>
      </x:c>
      <x:c r="G195" s="28" t="str">
        <x:v>Stable</x:v>
      </x:c>
      <x:c r="H195" s="29" t="str"/>
      <x:c r="I195" s="29" t="str"/>
      <x:c r="J195" s="29" t="str"/>
      <x:c r="K195" s="30"/>
      <x:c r="L195" s="29" t="str"/>
      <x:c r="M195" s="31" t="str">
        <x:f>IF(H195="","待填写标签",IF(AND(H195="Unusable",I195=""),"需填写不可用原因",IF(J195="","需填写审核人",IF(K195="","需填写日期","完成"))))</x:f>
        <x:v>待填写标签</x:v>
      </x:c>
    </x:row>
    <x:row r="196" ht="72" customHeight="1">
      <x:c r="A196" s="25" t="n">
        <x:v>195</x:v>
      </x:c>
      <x:c r="B196" s="26" t="str">
        <x:v>review_0176</x:v>
      </x:c>
      <x:c r="C196" s="26" t="str">
        <x:v>mimic_cxr_jpg</x:v>
      </x:c>
      <x:c r="D196" s="27" t="str">
        <x:v>Enlarged Cardiomediastinum</x:v>
      </x:c>
      <x:c r="E196" s="27" t="str">
        <x:v>FINAL REPORT
 HISTORY:  COPD exacerbation, intubation ___.
 CHEST, SINGLE AP PORTABLE VIEW.
 An ET tube is present. The carina is not optimally visualized but the ET tube
 probably lies approximately 3.8 cm above the carina.  An NG tube is present. 
 The tip of the tube can be traced beyond the level of the mid esophagus,
 though this may be due to technical limitations.  
 There is enlargement of the cardiomediastinal silhouette,  including the
 mediastinum itsel,f with enlarged pulmonary arteries, unchanged compared with
 ___ at 2:35 p.m.  There is trace upper zone redistribution, but I doubt
 overt CHF.  There is minimal atelectasis at both lung bases.  No frank
 consolidation or effusion detected.  
 Compared to ___ at 2:35 p.m., the PICC line, which was previously seen
 coursing cephalad has been removed.  No pneumothorax is detected.  Otherwise,
 I doubt significant interval change.</x:v>
      </x:c>
      <x:c r="F196" s="27" t="str">
        <x:v>FINAL REPORT
 EXAMINATION:  CHEST (PORTABLE AP)
 INDICATION:  ___ year old woman with COPD exacerbation, pulmonary edema,
 intubated // Evaluate for interval change, tube and line placement
 COMPARISON:  Chest radiographs ___ 520 's 08:00.
 IMPRESSION: 
 Mild interstitial pulmonary edema and developed since ___, worse today
 than on ___.  Severe engorgement of the hilar and pulmonary arteries is
 stable since ___. Mediastinal widening to adenopathy worsened between
 ___ and ___ ___. .</x:v>
      </x:c>
      <x:c r="G196" s="28" t="str">
        <x:v>Worse</x:v>
      </x:c>
      <x:c r="H196" s="29" t="str"/>
      <x:c r="I196" s="29" t="str"/>
      <x:c r="J196" s="29" t="str"/>
      <x:c r="K196" s="30"/>
      <x:c r="L196" s="29" t="str"/>
      <x:c r="M196" s="31" t="str">
        <x:f>IF(H196="","待填写标签",IF(AND(H196="Unusable",I196=""),"需填写不可用原因",IF(J196="","需填写审核人",IF(K196="","需填写日期","完成"))))</x:f>
        <x:v>待填写标签</x:v>
      </x:c>
    </x:row>
    <x:row r="197" ht="72" customHeight="1">
      <x:c r="A197" s="25" t="n">
        <x:v>196</x:v>
      </x:c>
      <x:c r="B197" s="26" t="str">
        <x:v>review_0180</x:v>
      </x:c>
      <x:c r="C197" s="26" t="str">
        <x:v>chexpert_plus</x:v>
      </x:c>
      <x:c r="D197" s="27" t="str">
        <x:v>Lung Opacity</x:v>
      </x:c>
      <x:c r="E197" s="27" t="str">
        <x:v>NARRATIVE:
EXAM: Chest 2 Views, 3/27/2011
HISTORY: Fevers.
FINDINGS: 
Exam includes: Two films of the chest.  The cardiac silhouette is 
within normal limits.  The pulmonary vascularity is normal. There is 
mild peribronchial thickening in the left lung zone. There are no 
parenchymal opacities or pleural effusion. No focal lytic or blastic 
bony lesions are identified.  
IMPRESSION:
1.MILD PERIBRONCHIAL THICKENING IN THE LEFT LOWER LUNG ZONE WITH NO 
CONSOLIDATION.
SUMMARY:4-POSSIBLY SIGNIFICANT FINDING, MAY NEED ACTION
ACCESSION NUMBER:
#3201669
This report has been anonymized. All dates are offset from the actual dates by a fixed interval associated with the patient.</x:v>
      </x:c>
      <x:c r="F197" s="27" t="str">
        <x:v>NARRATIVE:
Exam: Chest 1 View, 5-12-2000
Comparison: 2000 MAY 12 and 5-12-2000.
Clinical History: Male, 67 years old with gastroesophageal tumor and 
cough
Findings: A portable upright radiograph of the chest was obtained. 
There is increasing left lower lobe opacity, which has progressed 
since 5/12/2000 and is new from 5-12-2000.  There is a stable small 
associated left pleural effusion.  The right lung remains clear.  The 
cardiomediastinal silhouette is stable. The pulmonary vasculature is 
within normal limits. No acute osseous abnormalities are seen. 
IMPRESSION:
1.Increasing left lower lobe opacity with associated small left 
pleural effusion.  Findings are concerning for infection.  Recommend 
short-term follow-up chest x-ray in this patient with known 
malignancy.
SUMMARY:4-POSSIBLY SIGNIFICANT FINDING, MAY NEED ACTION
ACCESSION NUMBER:
96968528
This report has been anonymized. All dates are offset from the actual dates by a fixed interval associated with the patient.</x:v>
      </x:c>
      <x:c r="G197" s="28" t="str">
        <x:v>New</x:v>
      </x:c>
      <x:c r="H197" s="29" t="str"/>
      <x:c r="I197" s="29" t="str"/>
      <x:c r="J197" s="29" t="str"/>
      <x:c r="K197" s="30"/>
      <x:c r="L197" s="29" t="str"/>
      <x:c r="M197" s="31" t="str">
        <x:f>IF(H197="","待填写标签",IF(AND(H197="Unusable",I197=""),"需填写不可用原因",IF(J197="","需填写审核人",IF(K197="","需填写日期","完成"))))</x:f>
        <x:v>待填写标签</x:v>
      </x:c>
    </x:row>
    <x:row r="198" ht="72" customHeight="1">
      <x:c r="A198" s="25" t="n">
        <x:v>197</x:v>
      </x:c>
      <x:c r="B198" s="26" t="str">
        <x:v>review_0091</x:v>
      </x:c>
      <x:c r="C198" s="26" t="str">
        <x:v>chexpert_plus</x:v>
      </x:c>
      <x:c r="D198" s="27" t="str">
        <x:v>Pleural Effusion</x:v>
      </x:c>
      <x:c r="E198" s="27" t="str">
        <x:v>NARRATIVE:
Chest 1 View 10-10-2006 
History:84 years Male,  Verify central line placment
Comparison: 10-10-2006 at 2141
Impression: 
1.  RIGHT INTERNAL JUGULAR CVP CATHETER SEEN WITH THE TIP IN THE 
REGION OF THE DISTAL SVC.  THIS IS NOT CHANGED COMPARED WITH PRIOR.
2.  REDEMONSTRATION OF RIGHT APICAL PNEUMOTHORAX ALSO WITH LARGE 
ANTEROBASAL COMPONENT.  THIS IS ALSO NOT APPRECIABLY CHANGED.  
PIGTAIL CATHETER REMAINS IN PLACE ON THE RIGHT, AND A PIGTAIL 
CATHETER IS ALSO SEEN ON THE LEFT.
3.  BILATERAL PERIBRONCHIAL CUFFING WITH CONFLUENT OPACITIES AT BOTH 
BASES, WHICH MAY BE SECONDARY TO PNEUMONIA OR CONGESTIVE FAILURE.  
THIS FINDING IS ESSENTIALLY UNCHANGED FROM PRIOR.
SUMMARY CODE: SUMMARY: 2-ABNORMAL, PREVIOUSLY REPORTED
ACCESSION NUMBER:
822205848
This report has been anonymized. All dates are offset from the actual dates by a fixed interval associated with the patient.</x:v>
      </x:c>
      <x:c r="F198" s="27" t="str">
        <x:v>NARRATIVE:
EXAM: Chest 1 View, 11-25-2014.
HISTORY: Male who is of 84 years, Resp insufficiency. 
COMPARISON: CXR: 11-25-14
IMPRESSION:
1.  FRONTAL RADIOGRAPH OF THE CHEST DEMONSTRATES STABLE APPEARANCE OF 
THE TRACHEOSTOMY TUBE, RIGHT HICKMAN CATHETER, MEDIAN STERNOTOMY 
WIRES, MEDIASTINAL SURGICAL CLIPS, AND LEFT ATRIAL APPENDAGE CLIP.   
2.  INCREASING SIZE OF NOW MODERATE SIZED RIGHT-SIDED PLEURAL 
EFFUSION.  SMALL LEFT-SIDED PLEURAL EFFUSION.    
3.  LOW LUNG VOLUMES.
4.  WORSENING PULMONARY EDEMA.     
SUMMARY: 4-POSSIBLE SIGNIFICANT FINDING, MAY NEED ACTION
I have personally reviewed the images for this examination and agreed
with the report transcribed above.
ACCESSION NUMBER:
9 P 2 8 6 Z 4 0
This report has been anonymized. All dates are offset from the actual dates by a fixed interval associated with the patient.</x:v>
      </x:c>
      <x:c r="G198" s="28" t="str">
        <x:v>New</x:v>
      </x:c>
      <x:c r="H198" s="29" t="str"/>
      <x:c r="I198" s="29" t="str"/>
      <x:c r="J198" s="29" t="str"/>
      <x:c r="K198" s="30"/>
      <x:c r="L198" s="29" t="str"/>
      <x:c r="M198" s="31" t="str">
        <x:f>IF(H198="","待填写标签",IF(AND(H198="Unusable",I198=""),"需填写不可用原因",IF(J198="","需填写审核人",IF(K198="","需填写日期","完成"))))</x:f>
        <x:v>待填写标签</x:v>
      </x:c>
    </x:row>
    <x:row r="199" ht="72" customHeight="1">
      <x:c r="A199" s="25" t="n">
        <x:v>198</x:v>
      </x:c>
      <x:c r="B199" s="26" t="str">
        <x:v>review_0066</x:v>
      </x:c>
      <x:c r="C199" s="26" t="str">
        <x:v>chexpert_plus</x:v>
      </x:c>
      <x:c r="D199" s="27" t="str">
        <x:v>Edema</x:v>
      </x:c>
      <x:c r="E199" s="27" t="str">
        <x:v>NARRATIVE:
PORTABLE CHEST: 10/17/2011
COMPARISON: 10/17/2011
IMPRESSION:
1. PROTABLE SEMIERECT CHEST RADIOGRAPH DEMONSTRATES INTERVAL
PLACEMENT OF AN ENDOTRACHEAL TUBE APPROXIMATELY 3.5 CM ABOVE THE
CARINA. A SWAN-GANZ CATHETER IS IN PLACE VIA A RIGHT INTERNAL
JUGULAR APPROACH WITH THE TIP IN THE PULMONARY OUTFLOW TRACT. A
RIGHT SUBCLAVIAN CATHETER IS ALSO IN PLACE WITH THE TIP IN THE
REGION OF THE BRACHIOCEPHALIC CONFLUENT. A NASOGASTRIC TUBE
EXTENDS BELOW THE DIAPHRAGM WITH THE TIP BEYOND THE INFERIOR MARGIN
OF THE RADIOGRAPH.
2. NO EVIDENCE OF PNEUMOTHORAX.
3. LOW LUNG VOLUMES WITH DIFFUSE PROMINENCE OF THE PULMONARY
VASCULATURE CENTRALLY WHICH MAY BE RELATED TO VASCULAR CONGESTION.
HOWEVER, THIS MAY ALSO BE RELATED TO THE LOW LUNG VOLUMES AND
PORTABLE SEMIERECT TECHNIQUE.
4. INCREASED STRANDING OPACITIES IN THE LEFT RETROCARDIAC REGION
LIKELY REPRESENTING ATELECTASIS.
END OF IMPRESSION:
SUMMARY 4: POSSIBLE SIGNIFICANT ABNORMALITY/CHANGE, MAY NEED
ACTION.
ACCESSION NUMBER:
551262188961
This report has been anonymized. All dates are offset from the actual dates by a fixed interval associated with the patient.</x:v>
      </x:c>
      <x:c r="F199" s="27" t="str">
        <x:v>NARRATIVE:
CHEST:
COMPARISON: 12/5/04
IMPRESSION:
1. INTERVAL REMOVAL OF PREVIOUSLY SEEN ENDOTRACHEAL TUBE.
2. LOW LUNG VOLUMES WITH BILATERAL PLATE-LIKE ATELECTASIS IN THE
MID LUNG ZONES.
3. INTERVAL RESOLUTION OF PREVIOUSLY SEEN PULMONARY EDEMA.
4. REDEMONSTRATION OF RIGHT INTERNAL JUGULAR SWAN-GANZ CATHETER
WITH TIP IN THE MAIN PULMONARY ARTERY, AS WELL AS RIGHT INTERNAL
JUGULAR AND RIGHT SUBCLAVIAN CENTRAL VENOUS CATHETER SHEATHS.
END OF IMPRESSION:
SUMMARY 2: Abnormal; previously reported.
I have personally reviewed the images for this examination and agree
with the report transcribed above.
By: Sullivan Lyric APRN  on: 12/5/04
ACCESSION NUMBER:
5868192
This report has been anonymized. All dates are offset from the actual dates by a fixed interval associated with the patient.</x:v>
      </x:c>
      <x:c r="G199" s="28" t="str">
        <x:v>Resolved</x:v>
      </x:c>
      <x:c r="H199" s="29" t="str"/>
      <x:c r="I199" s="29" t="str"/>
      <x:c r="J199" s="29" t="str"/>
      <x:c r="K199" s="30"/>
      <x:c r="L199" s="29" t="str"/>
      <x:c r="M199" s="31" t="str">
        <x:f>IF(H199="","待填写标签",IF(AND(H199="Unusable",I199=""),"需填写不可用原因",IF(J199="","需填写审核人",IF(K199="","需填写日期","完成"))))</x:f>
        <x:v>待填写标签</x:v>
      </x:c>
    </x:row>
    <x:row r="200" ht="72" customHeight="1">
      <x:c r="A200" s="25" t="n">
        <x:v>199</x:v>
      </x:c>
      <x:c r="B200" s="26" t="str">
        <x:v>review_0198</x:v>
      </x:c>
      <x:c r="C200" s="26" t="str">
        <x:v>mimic_cxr_jpg</x:v>
      </x:c>
      <x:c r="D200" s="27" t="str">
        <x:v>Lung Opacity</x:v>
      </x:c>
      <x:c r="E200" s="27" t="str">
        <x:v>FINAL REPORT
 CHEST RADIOGRAPH
 INDICATION:  Shortness of breath, evaluation for acute process.
 COMPARISON:  ___.
 FINDINGS:  As compared to the previous radiograph, there is no relevant
 change.  No visible pneumothorax after right thoracocentesis.  Unchanged signs
 of moderate fluid overload, unchanged appearance of the cardiac silhouette. 
 Unchanged left pleural effusion and retrocardiac atelectasis.</x:v>
      </x:c>
      <x:c r="F200" s="27" t="str">
        <x:v>FINAL REPORT
 CHEST RADIOGRAPH
 INDICATION:  Known severe COPD, pleural effusion.  Followup.
 COMPARISON:  ___.
 FINDINGS:  As compared to the previous radiograph, the right pleural drain has
 been removed.  The extent of the right pleural effusion is not substantially
 increased in the interval.  On the left, there is an unchanged moderate
 pleural effusion with atelectasis at the level of the left lower lobe.  The
 pre-existing parenchymal opacities are overall decreased in severity.  The
 biggest remnant opacity seen laterally of the right hilus.  The vascular
 diameters remain at the upper range of normal, so that mild fluid overload
 cannot be excluded.</x:v>
      </x:c>
      <x:c r="G200" s="28" t="str">
        <x:v>Improved</x:v>
      </x:c>
      <x:c r="H200" s="29" t="str"/>
      <x:c r="I200" s="29" t="str"/>
      <x:c r="J200" s="29" t="str"/>
      <x:c r="K200" s="30"/>
      <x:c r="L200" s="29" t="str"/>
      <x:c r="M200" s="31" t="str">
        <x:f>IF(H200="","待填写标签",IF(AND(H200="Unusable",I200=""),"需填写不可用原因",IF(J200="","需填写审核人",IF(K200="","需填写日期","完成"))))</x:f>
        <x:v>待填写标签</x:v>
      </x:c>
    </x:row>
    <x:row r="201" ht="72" customHeight="1">
      <x:c r="A201" s="25" t="n">
        <x:v>200</x:v>
      </x:c>
      <x:c r="B201" s="26" t="str">
        <x:v>review_0035</x:v>
      </x:c>
      <x:c r="C201" s="26" t="str">
        <x:v>chexpert_plus</x:v>
      </x:c>
      <x:c r="D201" s="27" t="str">
        <x:v>Edema</x:v>
      </x:c>
      <x:c r="E201" s="27" t="str">
        <x:v>NARRATIVE:
RADIOGRAPHIC EXAMINATION OF THE CHEST: 12/19/2015
CLINICAL HISTORY: 19 years of age, Male, atelectasis.
COMPARISON: Multiple prior studies, including the most recent dated 12-19-2015
PROCEDURE COMMENTS: Single view of the chest. 
FINDINGS:
There is an endotracheal tube terminating in the midthoracic trachea. There is a left PICC terminating in the atrium, unchanged.
Near complete resolution of previously described left lateral airspace opacity, most compatible with resolving atelectasis. There is persistent retrocardiac atelectasis. There is no pleural effusion or pneumothorax. The cardiac silhouette is unchanged. The pulmonary vasculature is within normal limits, there is no interstitial edema.
IMPRESSION:
1.  Clearing opacity in the left midlung zone. Persistent subsegmental retrocardiac atelectasis.
2.  Resolved pulmonary edema.
Dictated by Resident: lowe amelia, md - December 2015
Interpreted by Attending Radiologist: Lena, Villegas - 12/19/2015
I, the attending signed below, have personally reviewed the images and agree with the report transcribed above.
Interpreted by Attending Radiologist: lena, villegas
Authored By    : villegas lena remi, dr.
Approval Date : 12/19/2015
ACCESSION NUMBER:
271961
This report has been anonymized. All dates are offset from the actual dates by a fixed interval associated with the patient.</x:v>
      </x:c>
      <x:c r="F201" s="27" t="str">
        <x:v>NARRATIVE:
RADIOGRAPHIC EXAMINATION OF THE CHEST: 5/5/2005
CLINICAL HISTORY: 19 years of age, Male, intubated.
COMPARISON: Radiograph from one day prior
PROCEDURE COMMENTS: 
Single view of the chest 05-05-2005
Single view of the chest 5/5/2005 
FINDINGS:
Single view of the chest 5-5-05:
The endotracheal tube terminates in the midthoracic trachea. There are 2 enteric tubes course below the diaphragm and out of the inferior field of view. The left arm PICC line appears to terminate in the right atrium, although the tip is not well seen due to technique.
There is increasing perihilar opacification and generalized haziness, with increasing small right pleural effusion and right basilar opacification. There is clearing retrocardiac atelectasis and persistent atelectasis in left mid lung. There is no pneumothorax.
There are lower lung volumes which accentuate the heart size.
No acute bony abnormalities are noted.
Single view of the chest 5-5-2005 :
The supportive medical devices are unchanged in position, with the tip of the left arm PICC line now seen in the right atrium. 
There is similar appearance of a small right pleural effusion, right basilar opacification, perihilar opacification, and generalized indistinctness of the vessels. There is no pneumothorax. The lung volumes are mildly improved, but there is slightly increased retrocardiac atelectasis is noted. There is a possible trace left pleural effusion.
The cardiomediastinal silhouette is unchanged. 
No acute bony abnormalities are noted.
IMPRESSION:
1.  Increasing pulmonary edema.
2.  Small bilateral pleural effusions and right greater than left basilar atelectasis.
Dictated by Resident: greer mio, md - 5-5-2005
Interpreted by Attending Radiologist: Escobar, Adelaide M - 5/5/2005
I, the attending signed below, have personally reviewed the images and agree with the report transcribed above.
Interpreted by Attending Radiologist: Escobar, Adelaide
Authored By    : Adelaide Molly, Escobar
Approval Date : 5-5-2005
ACCESSION NUMBER:
476453161
This report has been anonymized. All dates are offset from the actual dates by a fixed interval associated with the patient.</x:v>
      </x:c>
      <x:c r="G201" s="28" t="str">
        <x:v>New</x:v>
      </x:c>
      <x:c r="H201" s="29" t="str"/>
      <x:c r="I201" s="29" t="str"/>
      <x:c r="J201" s="29" t="str"/>
      <x:c r="K201" s="30"/>
      <x:c r="L201" s="29" t="str"/>
      <x:c r="M201" s="31" t="str">
        <x:f>IF(H201="","待填写标签",IF(AND(H201="Unusable",I201=""),"需填写不可用原因",IF(J201="","需填写审核人",IF(K201="","需填写日期","完成"))))</x:f>
        <x:v>待填写标签</x:v>
      </x:c>
    </x:row>
    <x:row r="202" ht="72" customHeight="1">
      <x:c r="A202" s="25" t="n">
        <x:v>201</x:v>
      </x:c>
      <x:c r="B202" s="26" t="str">
        <x:v>review_0161</x:v>
      </x:c>
      <x:c r="C202" s="26" t="str">
        <x:v>chexpert_plus</x:v>
      </x:c>
      <x:c r="D202" s="27" t="str">
        <x:v>Pleural Effusion</x:v>
      </x:c>
      <x:c r="E202" s="27" t="str">
        <x:v>NARRATIVE:
RADIOGRAPHIC EXAMINATION OF THE CHEST: 5/14/00
CLINICAL HISTORY: 28 years of age, Male, Post-op CV surgery.
COMPARISON: /5/14/2000
PROCEDURE COMMENTS: 2 views of the chest.
FINDINGS:
Limited views of the chest demonstrate the endotracheal tube at the 
level of the clavicles. Stable positioning of a right internal 
jugular central venous catheter and sheath. Unchanged positioning of 
a naso/orogastric tube. Mediastinal wires and drains and spinal 
fixation hardware in unchanged position. Small left pleural effusion. 
The right lung is clear. The cardiac silhouette is unchanged.
IMPRESSION:
1.  Postoperative appearance of the chest with a small left pleural 
effusion.
I have personally reviewed the images for this examination and agreed
with the report transcribed above.
ACCESSION NUMBER:
SUANVWNJ
This report has been anonymized. All dates are offset from the actual dates by a fixed interval associated with the patient.</x:v>
      </x:c>
      <x:c r="F202" s="27" t="str">
        <x:v>NARRATIVE:
RADIOGRAPHIC EXAMINATION OF THE CHEST: JANUARY 24
CLINICAL HISTORY: 28 years of age, Male, Post-op CV surgery.
COMPARISON: Chest x-ray from 1/24/2015 at 0420 hours
PROCEDURE COMMENTS: Single view of the chest. 
FINDINGS:
The patient has been extubated with resulting lower lung volumes, 
increasing opacities at the left greater than right lung bases, and 
an interval increase in the size of a small to moderate left pleural 
effusion. There is minimally increased pulmonary edema. There is no 
pneumothorax. The heart is mildly enlarged. The patient's right 
internal jugular central venous catheter remains in place. A 
mediastinal drain remains in place. Other postsurgical findings are 
unchanged.
IMPRESSION:
1.  Interval extubation with decreasing lung volumes and increasing 
passive atelectasis at the lung bases.
2.  Increasing mild pulmonary edema with an increased small to 
moderate sized left pleural effusion.
I have personally reviewed the images for this examination and agreed
with the report transcribed above.
ACCESSION NUMBER:
#FKA_RRF
This report has been anonymized. All dates are offset from the actual dates by a fixed interval associated with the patient.</x:v>
      </x:c>
      <x:c r="G202" s="28" t="str">
        <x:v>Worse</x:v>
      </x:c>
      <x:c r="H202" s="29" t="str"/>
      <x:c r="I202" s="29" t="str"/>
      <x:c r="J202" s="29" t="str"/>
      <x:c r="K202" s="30"/>
      <x:c r="L202" s="29" t="str"/>
      <x:c r="M202" s="31" t="str">
        <x:f>IF(H202="","待填写标签",IF(AND(H202="Unusable",I202=""),"需填写不可用原因",IF(J202="","需填写审核人",IF(K202="","需填写日期","完成"))))</x:f>
        <x:v>待填写标签</x:v>
      </x:c>
    </x:row>
    <x:row r="203" ht="72" customHeight="1">
      <x:c r="A203" s="25" t="n">
        <x:v>202</x:v>
      </x:c>
      <x:c r="B203" s="26" t="str">
        <x:v>review_0131</x:v>
      </x:c>
      <x:c r="C203" s="26" t="str">
        <x:v>mimic_cxr_jpg</x:v>
      </x:c>
      <x:c r="D203" s="27" t="str">
        <x:v>Edema</x:v>
      </x:c>
      <x:c r="E203" s="27" t="str">
        <x:v>FINAL REPORT
 INDICATION:  ___ year old woman with CHF, COPD  // Eval for PNA vs pulmonary
 edema
 TECHNIQUE:  Frontal view of the chest
 COMPARISON:  ___
 FINDINGS: 
 Lungs are hyperinflated.  Mild bibasilar opacities likely reflect atelectasis.
 Prominent pulmonary vessels are unchanged.  Enlarged cardiac silhouette is
 unchanged.  There is no pneumothorax or large pleural effusion.
 IMPRESSION: 
 Hyperinflated lungs with stable prominence of pulmonary vessels.</x:v>
      </x:c>
      <x:c r="F203" s="27" t="str">
        <x:v>FINAL REPORT
 INDICATION:  ___ year old woman with CAD, plan for CABG, now dyspneic  //
 Evalutate for edema/effusions
 TECHNIQUE:  Chest PA and lateral
 COMPARISON:  ___
 FINDINGS: 
 Transverse cardiomegaly.  Atherosclerotic changes of the thoracic aorta. 
 Prominent pulmonary vasculature with indistinctness of the vessels and
 peribronchial cuffing in keeping with pulmonary edema.  Peripheral ___ B
 lines also noted.  Small left-sided effusion.  No airspace consolidation.
 IMPRESSION: 
 Cardiomegaly.  New moderate pulmonary edema and small left-sided pleural
 effusion.</x:v>
      </x:c>
      <x:c r="G203" s="28" t="str">
        <x:v>New</x:v>
      </x:c>
      <x:c r="H203" s="29" t="str"/>
      <x:c r="I203" s="29" t="str"/>
      <x:c r="J203" s="29" t="str"/>
      <x:c r="K203" s="30"/>
      <x:c r="L203" s="29" t="str"/>
      <x:c r="M203" s="31" t="str">
        <x:f>IF(H203="","待填写标签",IF(AND(H203="Unusable",I203=""),"需填写不可用原因",IF(J203="","需填写审核人",IF(K203="","需填写日期","完成"))))</x:f>
        <x:v>待填写标签</x:v>
      </x:c>
    </x:row>
    <x:row r="204" ht="72" customHeight="1">
      <x:c r="A204" s="25" t="n">
        <x:v>203</x:v>
      </x:c>
      <x:c r="B204" s="26" t="str">
        <x:v>review_0187</x:v>
      </x:c>
      <x:c r="C204" s="26" t="str">
        <x:v>mimic_cxr_jpg</x:v>
      </x:c>
      <x:c r="D204" s="27" t="str">
        <x:v>Edema</x:v>
      </x:c>
      <x:c r="E204" s="27" t="str">
        <x:v>FINAL REPORT
 HISTORY:  Patient with dyspnea, prior MVR/AVR, question CHF.
 COMPARISON:  ___.
 FINDINGS:  Frontal and lateral chest radiographs were obtained.
 The patient is status post median sternotomy with intact wires for prior
 aortic valve replacement.  A left chest pacemaker has leads terminating in the
 appropriate locations in the right atrium and right ventricle.  There is
 bilateral interstitial edema and pulmonary vascular congestion that is
 increased from prior study on ___.  There is chronic scarring at the
 left lung base.  The heart is moderately enlarged, but stable in size.
 IMPRESSION:  Interval increase in bilateral interstitial edema and pulmonary
 vascular congestion, likely related to further cardiac decompensation.</x:v>
      </x:c>
      <x:c r="F204" s="27" t="str">
        <x:v>FINAL REPORT
 CHEST RADIOGRAPH
 INDICATION:  History of pulmonary vascular redistribution, questionable
 pleural effusion.
 COMPARISON:  ___.
 FINDINGS:  As compared to the previous radiograph, the signs indicative of
 pulmonary edema have improved.  There is still mild degree of fluid overload,
 severity has decreased in the interval.  Calcified granulomas in the right
 upper lobe.  No pleural effusion.  Moderate cardiomegaly, normal position of
 the pacemaker leads.  Status post CABG with correct alignment of sternal
 wires.</x:v>
      </x:c>
      <x:c r="G204" s="28" t="str">
        <x:v>Improved</x:v>
      </x:c>
      <x:c r="H204" s="29" t="str"/>
      <x:c r="I204" s="29" t="str"/>
      <x:c r="J204" s="29" t="str"/>
      <x:c r="K204" s="30"/>
      <x:c r="L204" s="29" t="str"/>
      <x:c r="M204" s="31" t="str">
        <x:f>IF(H204="","待填写标签",IF(AND(H204="Unusable",I204=""),"需填写不可用原因",IF(J204="","需填写审核人",IF(K204="","需填写日期","完成"))))</x:f>
        <x:v>待填写标签</x:v>
      </x:c>
    </x:row>
    <x:row r="205" ht="72" customHeight="1">
      <x:c r="A205" s="25" t="n">
        <x:v>204</x:v>
      </x:c>
      <x:c r="B205" s="26" t="str">
        <x:v>review_0114</x:v>
      </x:c>
      <x:c r="C205" s="26" t="str">
        <x:v>mimic_cxr_jpg</x:v>
      </x:c>
      <x:c r="D205" s="27" t="str">
        <x:v>Atelectasis</x:v>
      </x:c>
      <x:c r="E205" s="27" t="str">
        <x:v>FINAL REPORT
 INDICATION:  ___ year old man with pneumothorax.  // ?interval change
 TECHNIQUE:  AP portable chest radiograph
 COMPARISON:  ___ from earlier today
 FINDINGS: 
 A left typically directed chest tube is present.  A trace left apical
 pneumothorax persists.
 Slight increase in left basilar atelectasis.  No pleural effusion.  Relative
 lucencies in the right lower lung zone may reflect underlying emphysematous
 change.  The size the cardiomediastinal silhouette is within normal limits.
 Unchanged subcutaneous gas.
 IMPRESSION: 
 Persisting trace left apical pneumothorax with a chest tube in place. 
 Extensive subcutaneous emphysema unchanged</x:v>
      </x:c>
      <x:c r="F205" s="27" t="str">
        <x:v>FINAL REPORT
 EXAMINATION:  CHEST (PORTABLE AP)
 INDICATION:  ___ year old man with PTX  // Eval for interval change of PTX
 TECHNIQUE:  Single frontal view of the chest
 COMPARISON:
 ___
 IMPRESSION: 
 Left apical pneumothorax is less conspicuous than before.  Extensive chest
 wall subcutaneous emphysema has improved.  Cardiomediastinal contours are
 midline and unchanged.  Retrocardiac atelectasis have worsened.  Left chest
 tube is in unchanged position.</x:v>
      </x:c>
      <x:c r="G205" s="28" t="str">
        <x:v>Worse</x:v>
      </x:c>
      <x:c r="H205" s="29" t="str"/>
      <x:c r="I205" s="29" t="str"/>
      <x:c r="J205" s="29" t="str"/>
      <x:c r="K205" s="30"/>
      <x:c r="L205" s="29" t="str"/>
      <x:c r="M205" s="31" t="str">
        <x:f>IF(H205="","待填写标签",IF(AND(H205="Unusable",I205=""),"需填写不可用原因",IF(J205="","需填写审核人",IF(K205="","需填写日期","完成"))))</x:f>
        <x:v>待填写标签</x:v>
      </x:c>
    </x:row>
    <x:row r="206" ht="72" customHeight="1">
      <x:c r="A206" s="25" t="n">
        <x:v>205</x:v>
      </x:c>
      <x:c r="B206" s="26" t="str">
        <x:v>review_0064</x:v>
      </x:c>
      <x:c r="C206" s="26" t="str">
        <x:v>chexpert_plus</x:v>
      </x:c>
      <x:c r="D206" s="27" t="str">
        <x:v>Lung Opacity</x:v>
      </x:c>
      <x:c r="E206" s="27" t="str">
        <x:v>NARRATIVE:
EXAM: Chest 1 View, NOVEMBER 27
CLINICAL HISTORY: Postop VAD
COMPARISON: 11/27/2017
IMPRESSION:
1.  INTERVAL REMOVAL OF THE TEE PROBE.  ET TUBE, NG TUBE, RIGHT IJ 
LINE, RIGHT IJ SWAN-GANZ CATHETER, TWO LEAD ICD, LVAD DEVICE IN 
PLACE, UNCHANGED.
2.  STABLE SIGNIFICANT CARDIOMEGALY.  MINIMALLY EDEMA.  LEFT 
RETROCARDIAC ATELECTASIS.
SUMMARY:2-ABNORMAL, PREVIOUSLY REPORTED
ACCESSION NUMBER:
39313890
This report has been anonymized. All dates are offset from the actual dates by a fixed interval associated with the patient.</x:v>
      </x:c>
      <x:c r="F206" s="27" t="str">
        <x:v>NARRATIVE:
EXAM: Chest 1 View, 10-3-2005
CLINICAL HISTORY: 38 years Female Confirm ETT position 
COMPARISON: 10/3/2005 and priors
IMPRESSION:
1. FRONTAL PORTABLE SEMIUPRIGHT CHEST RADIOGRAPH SHOWS STABLE 
POSITIONING OF THE ENDOTRACHEAL TUBE, LVAD, SWAN- GANZ CATHETER, DUAL 
LEAD AICD, NASOGASTRIC FEEDING TUBE WITH SIDE-PORT IN DISTAL 
ESOPHAGUS AND LEFT CHEST TUBE AND MEDIASTINAL DRAIN. REDEMONSTRATION 
OF DOWNWARD POINTING CONFIGURATION OF THE RIGHT ATRIAL PACEMAKER 
LEAD, CAN WHICH CAN REFLECT DISLODGEMENT.  RECOMMEND CORRELATION WITH 
FUNCTION OF THE AICD.
2. NO PNEUMOTHORAX. NO EVIDENCE OF PULMONARY EDEMA.
3. STABLE SIGNIFICANT CARDIOMEGALY RELATED TO PATIENT'S UNDERLYING 
POSTPARTUM INDUCED DILATED CARDIOMYOPATHY.
4. STABLE LEFT BASILAR OPACITY, LIKELY REPRESENTING ATELECTASIS.
5. THE SUBSEQUENT CHEST X-RAY PERFORMED AT 9H54 ON 10/3/2005 
SHOWS NO INTERVAL CHANGE WITH THE EXCEPTION OF REMOVAL OF THE LEFT 
CHEST TUBE WITH NO EVIDENCE OF PNEUMOTHORAX.
I have personally reviewed the images for this examination and agreed
with the report transcribed above.
ACCESSION NUMBER:
3150795294
This report has been anonymized. All dates are offset from the actual dates by a fixed interval associated with the patient.</x:v>
      </x:c>
      <x:c r="G206" s="28" t="str">
        <x:v>Stable</x:v>
      </x:c>
      <x:c r="H206" s="29" t="str"/>
      <x:c r="I206" s="29" t="str"/>
      <x:c r="J206" s="29" t="str"/>
      <x:c r="K206" s="30"/>
      <x:c r="L206" s="29" t="str"/>
      <x:c r="M206" s="31" t="str">
        <x:f>IF(H206="","待填写标签",IF(AND(H206="Unusable",I206=""),"需填写不可用原因",IF(J206="","需填写审核人",IF(K206="","需填写日期","完成"))))</x:f>
        <x:v>待填写标签</x:v>
      </x:c>
    </x:row>
    <x:row r="207" ht="72" customHeight="1">
      <x:c r="A207" s="25" t="n">
        <x:v>206</x:v>
      </x:c>
      <x:c r="B207" s="26" t="str">
        <x:v>review_0002</x:v>
      </x:c>
      <x:c r="C207" s="26" t="str">
        <x:v>chexpert_plus</x:v>
      </x:c>
      <x:c r="D207" s="27" t="str">
        <x:v>Enlarged Cardiomediastinum</x:v>
      </x:c>
      <x:c r="E207" s="27" t="str">
        <x:v>NARRATIVE:
SINGLE VIEW OF THE CHEST
2-14-2012
INDICATION: Status post thoracentesis coming evaluate for 
pneumothorax.
COMPARISON: Chest radiograph dated 2/14/2012
IMPRESSION:
SINCE THE PRIOR EXAMINATION, THERE IS INTERVAL DECREASE IN THE 
PREVIOUSLY SEEN LEFT-SIDED PLEURAL EFFUSION WITH A SMALL LEFT PLEURAL 
EFFUSION PERSISTING.  A TRACE RIGHT PLEURAL EFFUSION IS UNCHANGED.  
BIBASILAR OPACITIES LIKELY REPRESENT ATELECTASIS.  THERE IS NO 
LEFT-SIDED PNEUMOTHORAX.  THERE IS PERSISTENT CARDIOMEGALY.
THESE FINDINGS WERE DISCUSSED WITH Elizabeth, Barron, ON 2-14-2012 AT 
0913 HRS BY SOPHIA, DR. VIA THE TELEPHONE.
SUMMARY:2-ABNORMAL, PREVIOUSLY REPORTED
ACCESSION NUMBER:
1898-9994-41
This report has been anonymized. All dates are offset from the actual dates by a fixed interval associated with the patient.</x:v>
      </x:c>
      <x:c r="F207" s="27" t="str">
        <x:v>NARRATIVE:
 Chest 2 Views 4/6/2010
CLINICAL HISTORY: Evaluate prior to thoracentesis
COMPARISON: Chest x-ray from 4/6/2010.
FINDINGS: 
The lungs are adequately expanded.  There is a moderate left pleural 
effusion with associated airspace disease, increased from prior.  
Stable small right pleural effusion.  No pneumothorax is seen.  The 
cardiomediastinal silhouette appears mildly enlarged, unchanged.  The 
pulmonary vascularity appears normal.  No acute bone or soft tissue 
abnormality.
IMPRESSION:
MODERATE LEFT PLEURAL EFFUSION WITH ASSOCIATED AIRSPACE OPACITY, 
INCREASED FROM PRIOR.  STABLE SMALL RIGHT PLEURAL EFFUSION.
SUMMARY:4-POSSIBLY SIGNIFICANT FINDING, MAY NEED ACTION
ACCESSION NUMBER:
YFylqbZLZ
This report has been anonymized. All dates are offset from the actual dates by a fixed interval associated with the patient.</x:v>
      </x:c>
      <x:c r="G207" s="28" t="str">
        <x:v>Stable</x:v>
      </x:c>
      <x:c r="H207" s="29" t="str"/>
      <x:c r="I207" s="29" t="str"/>
      <x:c r="J207" s="29" t="str"/>
      <x:c r="K207" s="30"/>
      <x:c r="L207" s="29" t="str"/>
      <x:c r="M207" s="31" t="str">
        <x:f>IF(H207="","待填写标签",IF(AND(H207="Unusable",I207=""),"需填写不可用原因",IF(J207="","需填写审核人",IF(K207="","需填写日期","完成"))))</x:f>
        <x:v>待填写标签</x:v>
      </x:c>
    </x:row>
    <x:row r="208" ht="72" customHeight="1">
      <x:c r="A208" s="25" t="n">
        <x:v>207</x:v>
      </x:c>
      <x:c r="B208" s="26" t="str">
        <x:v>review_0164</x:v>
      </x:c>
      <x:c r="C208" s="26" t="str">
        <x:v>chexpert_plus</x:v>
      </x:c>
      <x:c r="D208" s="27" t="str">
        <x:v>Pleural Effusion</x:v>
      </x:c>
      <x:c r="E208" s="27" t="str">
        <x:v>NARRATIVE:
PORTABLE CHEST, ONE VIEW: 3-27-2020 1550 HOURS
COMPARISON: Comparison is made to prior exam of 3/27/2020.
CLINICAL HISTORY: Coronary artery disease. Evaluate for
infiltrates.
IMPRESSION:
1. COMPARED TO THE PRIOR FILM, THE FEEDING TUBE HAS BEEN REMOVED.
2. COMPARED TO THE PRIOR EXAM, THERE IS A NEW LEFT-SIDED PLEURAL
EFFUSION WITH WORSENING LEFT LOWER LOBE ATELECTASIS.
3. RESOLVING PULMONARY EDEMA.
END OF IMPRESSION:
SUMMARY: 4 POSSIBLE SIGNIFICANT FINDINGS, MAY NEED ACTION
I have personally reviewed the images for this examination and agree
with the report transcribed above.
By: Armstrong Ali A., PA-C  on: 3-27-2020
ACCESSION NUMBER:
#ERFARAQDPU
This report has been anonymized. All dates are offset from the actual dates by a fixed interval associated with the patient.</x:v>
      </x:c>
      <x:c r="F208" s="27" t="str">
        <x:v>NARRATIVE:
COMPARISON: 3-29-01.
IMPRESSION:
1. RESOLVING LEFT PLEURAL EFFUSION WITH IMPROVED AERATION LEFT
LOWER LOBE. LEFT PLEURAL EFFUSION IS SMALL IN DEGREE.
2. STATUS POST CABG WITH INTACT STERNAL WIRES. NORMAL PULMONARY
VASCULARITY, RESOLVED PULMONARY EDEMA.
END OF IMPRESSION:
ACCESSION NUMBER:
EFZHCJJIBUDUY
This report has been anonymized. All dates are offset from the actual dates by a fixed interval associated with the patient.</x:v>
      </x:c>
      <x:c r="G208" s="28" t="str">
        <x:v>Improved</x:v>
      </x:c>
      <x:c r="H208" s="29" t="str"/>
      <x:c r="I208" s="29" t="str"/>
      <x:c r="J208" s="29" t="str"/>
      <x:c r="K208" s="30"/>
      <x:c r="L208" s="29" t="str"/>
      <x:c r="M208" s="31" t="str">
        <x:f>IF(H208="","待填写标签",IF(AND(H208="Unusable",I208=""),"需填写不可用原因",IF(J208="","需填写审核人",IF(K208="","需填写日期","完成"))))</x:f>
        <x:v>待填写标签</x:v>
      </x:c>
    </x:row>
    <x:row r="209" ht="72" customHeight="1">
      <x:c r="A209" s="25" t="n">
        <x:v>208</x:v>
      </x:c>
      <x:c r="B209" s="26" t="str">
        <x:v>review_0057</x:v>
      </x:c>
      <x:c r="C209" s="26" t="str">
        <x:v>mimic_cxr_jpg</x:v>
      </x:c>
      <x:c r="D209" s="27" t="str">
        <x:v>Atelectasis</x:v>
      </x:c>
      <x:c r="E209" s="27" t="str">
        <x:v>FINAL REPORT
 EXAMINATION:  CHEST (PORTABLE AP)
 INDICATION:  ___ year old man with intubation  // PNA?      PNA?
 IMPRESSION: 
 In comparison with the study of ___, the monitoring and support
 devices remain unchanged. Increasing opacification at the left base with poor
 definition of the hemidiaphragm. This could reflect increasing pleural
 effusion or a more supine position of the patient.  Right pleural effusion
 with compressive atelectasis is less prominent than on the opposite side.
 Otherwise little change.</x:v>
      </x:c>
      <x:c r="F209" s="27" t="str">
        <x:v>FINAL REPORT
 EXAMINATION:  CHEST (PORTABLE AP)
 INDICATION:  ___ year old man intubated s/p exlap  // ? acute process
 TECHNIQUE:  Single frontal view of the chest
 COMPARISON:  ___
 IMPRESSION: 
 Mild pulmonary edema has increased. Bibasilar opacity a combination of pleural
 effusions and atelectasis have increased. Right supraclavicular catheter tip
 is in the lower SVC. Cardiomediastinal contours are unchanged</x:v>
      </x:c>
      <x:c r="G209" s="28" t="str">
        <x:v>Worse</x:v>
      </x:c>
      <x:c r="H209" s="29" t="str"/>
      <x:c r="I209" s="29" t="str"/>
      <x:c r="J209" s="29" t="str"/>
      <x:c r="K209" s="30"/>
      <x:c r="L209" s="29" t="str"/>
      <x:c r="M209" s="31" t="str">
        <x:f>IF(H209="","待填写标签",IF(AND(H209="Unusable",I209=""),"需填写不可用原因",IF(J209="","需填写审核人",IF(K209="","需填写日期","完成"))))</x:f>
        <x:v>待填写标签</x:v>
      </x:c>
    </x:row>
    <x:row r="210" ht="72" customHeight="1">
      <x:c r="A210" s="25" t="n">
        <x:v>209</x:v>
      </x:c>
      <x:c r="B210" s="26" t="str">
        <x:v>review_0098</x:v>
      </x:c>
      <x:c r="C210" s="26" t="str">
        <x:v>mimic_cxr_jpg</x:v>
      </x:c>
      <x:c r="D210" s="27" t="str">
        <x:v>Atelectasis</x:v>
      </x:c>
      <x:c r="E210" s="27" t="str">
        <x:v>FINAL REPORT
 EXAMINATION:  CHEST (PORTABLE AP)
 INDICATION:  ___ year old woman with effusion  // effusion f/uperform at 6am
 COMPARISON:  ___
 IMPRESSION: 
 As compared to the previous radiograph, no relevant change is seen. Given a
 different patient positioning, the distribution of the bilateral pleural
 effusions is slightly different but there is no overall change in effusions.
 The drains and the pacemaker leads are in constant position. Moderate
 cardiomegaly persists. No new parenchymal opacities.</x:v>
      </x:c>
      <x:c r="F210" s="27" t="str">
        <x:v>FINAL REPORT
 INDICATION:  Cirrhosis status post chest tube for pleural effusion.  Assess
 for worsening pneumothorax and recurrence of pleural effusion.
 COMPARISON:  ___ at 5:33.
 FINDINGS: 
 Portable frontal radiograph of the chest.  Allowing for differences in
 technique, the bilateral pleural effusions left greater than right are stable.
 A small left apical pneumothorax similarly unchanged.  The large hiatus hernia
 with associated left lower lobe atelectasis is stable.  The left chest tube is
 no longer visualized.
 NOTIFICATION:   The findings were discussed by Dr. ___ with Dr. ___ on
 the telephone on ___ at 12:04 PM, confirmed that the pleural tube had
 been removed</x:v>
      </x:c>
      <x:c r="G210" s="28" t="str">
        <x:v>New</x:v>
      </x:c>
      <x:c r="H210" s="29" t="str"/>
      <x:c r="I210" s="29" t="str"/>
      <x:c r="J210" s="29" t="str"/>
      <x:c r="K210" s="30"/>
      <x:c r="L210" s="29" t="str"/>
      <x:c r="M210" s="31" t="str">
        <x:f>IF(H210="","待填写标签",IF(AND(H210="Unusable",I210=""),"需填写不可用原因",IF(J210="","需填写审核人",IF(K210="","需填写日期","完成"))))</x:f>
        <x:v>待填写标签</x:v>
      </x:c>
    </x:row>
    <x:row r="211" ht="72" customHeight="1">
      <x:c r="A211" s="25" t="n">
        <x:v>210</x:v>
      </x:c>
      <x:c r="B211" s="26" t="str">
        <x:v>review_0248</x:v>
      </x:c>
      <x:c r="C211" s="26" t="str">
        <x:v>chexpert_plus</x:v>
      </x:c>
      <x:c r="D211" s="27" t="str">
        <x:v>Lung Opacity</x:v>
      </x:c>
      <x:c r="E211" s="27" t="str">
        <x:v>NARRATIVE:
Chest 1 View: 9/24/15
HISTORY: 63 years Male, Intubated.
COMPARISON: 9/24/2015
IMPRESSION: 
1.PORTABLE SUPINE FRONTAL CHEST RADIOGRAPH DEMONSTRATES INTERVAL 
EXTUBATION AND REMOVAL OF NG TUBE.  REMAINDER OF SUPPORT DEVICES ARE 
STABLE.
2.UNCHANGED CARDIOMEDIASTINAL SILHOUETTE, MILD PULMONARY EDEMA, AND 
BIBASILAR OPACITIES.
SUMMARY:2-ABNORMAL, PREVIOUSLY REPORTED 
I have personally reviewed the images for this examination and agreed
with the report transcribed above.
ACCESSION NUMBER:
#g14gxh8
This report has been anonymized. All dates are offset from the actual dates by a fixed interval associated with the patient.</x:v>
      </x:c>
      <x:c r="F211" s="27" t="str">
        <x:v>NARRATIVE:
Chest 1 View: 4/11/2005
HISTORY: 63 years Male, Intubated.
COMPARISON: 4-11-2005
IMPRESSION: 
1.SUPINE FRONTAL CHEST RADIOGRAPH DEMONSTRATES STABLE POSITIONING OF 
SUPPORT DEVICES.
2.STABLE CARDIOMEDIASTINAL SILHOUETTE WITH MILD CARDIOMEGALY AND 
DECREASED PULMONARY EDEMA.
3.INTERVAL IMPROVED AERATION OF THE LUNGS AND RESOLVED BY BASILAR 
OPACITIES.
SUMMARY:2-ABNORMAL, PREVIOUSLY REPORTED 
I have personally reviewed the images for this examination and agreed
with the report transcribed above.
ACCESSION NUMBER:
#MT730W7U8258R9
This report has been anonymized. All dates are offset from the actual dates by a fixed interval associated with the patient.</x:v>
      </x:c>
      <x:c r="G211" s="28" t="str">
        <x:v>Resolved</x:v>
      </x:c>
      <x:c r="H211" s="29" t="str"/>
      <x:c r="I211" s="29" t="str"/>
      <x:c r="J211" s="29" t="str"/>
      <x:c r="K211" s="30"/>
      <x:c r="L211" s="29" t="str"/>
      <x:c r="M211" s="31" t="str">
        <x:f>IF(H211="","待填写标签",IF(AND(H211="Unusable",I211=""),"需填写不可用原因",IF(J211="","需填写审核人",IF(K211="","需填写日期","完成"))))</x:f>
        <x:v>待填写标签</x:v>
      </x:c>
    </x:row>
    <x:row r="212" ht="72" customHeight="1">
      <x:c r="A212" s="25" t="n">
        <x:v>211</x:v>
      </x:c>
      <x:c r="B212" s="26" t="str">
        <x:v>review_0216</x:v>
      </x:c>
      <x:c r="C212" s="26" t="str">
        <x:v>mimic_cxr_jpg</x:v>
      </x:c>
      <x:c r="D212" s="27" t="str">
        <x:v>Pleural Effusion</x:v>
      </x:c>
      <x:c r="E212" s="27" t="str">
        <x:v>FINAL REPORT
 HISTORY:  Left rib pain.
 COMPARISON:  None.
 FINDINGS:
 Low lung volumes accentuate the central pulmonary vasculature.  Peribronchial
 cuffing is present in the right juxtahilar region with adjacent nonspecific
 patchy right infrahilar opacity.  An azygos fissure is incidentally noted. 
 There is no consolidation or pneumothorax.  A left pleural effusion is small. 
 Cardiac and mediastinal contours are normal.
 HH
 IMPRESSION:
 1.  Small left pleural effusion.
 2.  Right juxtahilar peribronchial cuffing would could reflect bronchitis in
 the appropriate clinical setting. Adjacent patchy right infrahilar opacity
 could reflect atelectasis, aspiration, or early pneumonia.
 Short-term follow-up imaging is recommended.</x:v>
      </x:c>
      <x:c r="F212" s="27" t="str">
        <x:v>FINAL REPORT
 CHEST RADIOGRAPH PERFORMED ON ___
 COMPARISON:  Chest radiograph from ___.
 CLINICAL HISTORY:  Recent rib injury with mild cough, question interval
 change.
 FINDINGS:  PA and lateral views of the chest were provided.  There is a large
 retrocardiac opacity containing ___ air-fluid level which is compatible with a
 hiatal hernia.  The previously detected pleural effusion has resolved.  The
 lungs are clear.  The cardiomediastinal silhouette is normal.  ___ azygous
 fissure is noted.  Bony structures are intact.
 IMPRESSION:  Hiatal hernia, otherwise unremarkable.</x:v>
      </x:c>
      <x:c r="G212" s="28" t="str">
        <x:v>Resolved</x:v>
      </x:c>
      <x:c r="H212" s="29" t="str"/>
      <x:c r="I212" s="29" t="str"/>
      <x:c r="J212" s="29" t="str"/>
      <x:c r="K212" s="30"/>
      <x:c r="L212" s="29" t="str"/>
      <x:c r="M212" s="31" t="str">
        <x:f>IF(H212="","待填写标签",IF(AND(H212="Unusable",I212=""),"需填写不可用原因",IF(J212="","需填写审核人",IF(K212="","需填写日期","完成"))))</x:f>
        <x:v>待填写标签</x:v>
      </x:c>
    </x:row>
    <x:row r="213" ht="72" customHeight="1">
      <x:c r="A213" s="25" t="n">
        <x:v>212</x:v>
      </x:c>
      <x:c r="B213" s="26" t="str">
        <x:v>review_0085</x:v>
      </x:c>
      <x:c r="C213" s="26" t="str">
        <x:v>chexpert_plus</x:v>
      </x:c>
      <x:c r="D213" s="27" t="str">
        <x:v>Consolidation</x:v>
      </x:c>
      <x:c r="E213" s="27" t="str">
        <x:v>NARRATIVE:
CHEST, SINGLE VIEW: 8/31/2004 AT 0352 HOURS. 
 CLINICAL HISTORY: A 51-year-old male, follow up intubation. 
 IMPRESSION: 
 1. SINGLE FRONTAL VIEW OF THE CHEST DONE ON 8/31/2004 AT 0352 HOURS 
DEMONSTRATES A RIGHT IJ CATHETER LOCATED AT THE LEVEL OF THE UPPER 
SVC, ENDOTRACHEAL TUBE LOCATED IN THE TRACHEA, NASOGASTRIC TUBE AND 
FEEDING TUBE PASSED INTO THE GASTROESOPHAGEAL JUNCTION, STERNAL WIRES 
AND SKIN STAPLES, AICD WITH STABLE LEAD PLACEMENT, LVAD DEVICE. 
 2. LOW LUNG VOLUMES. STABLE CARDIOMEGALY. STABLE BIBASILAR 
OPACITIES. RIGHT PLEURAL EFFUSION. MILD PULMONARY EDEMA. 
 SUMMARY:2-ABNORMAL, PREVIOUSLY REPORTED   
I have personally reviewed the images for this examination and agreed
with the report transcribed above.
ACCESSION NUMBER:
 t y a u b y h u
This report has been anonymized. All dates are offset from the actual dates by a fixed interval associated with the patient.</x:v>
      </x:c>
      <x:c r="F213" s="27" t="str">
        <x:v>NARRATIVE:
AP CHEST:  3-26-2019 AT 2131 HOURS.
 COMPARISON:  Previous film from 3-26-2019 at 0358 hours and 
3-26-2019.
 FINDINGS:  Again noted is a tracheostomy tube in position.  There is 
a left pectoral atrial ventricular ICD device.  There is a left IJ 
line with its distal tip in the right atrium.  The patient's feeding 
tube has been removed.  There is a nasogastric tube now present.  
Cardiac silhouette is mildly enlarged.  There is a retrocardiac 
opacity present and unchanged.  Pulmonary vascularity is mildly 
prominent and unchanged.  There is slight improved aeration and 
decreased pleural effusion on the left.
 IMPRESSION: 
 1.  MULTIPLE TUBES, LINES AND DEVICES AS DESCRIBED.
 2.  IMPROVING LEFT BASILAR AIRSPACE CONSOLIDATION AND LEFT EFFUSION.
 SUMMARY:4-POSSIBLE SIGNIFICANT FINDINGS, MAY NEED ACTION
ACCESSION NUMBER:
5A VB 7B Z
This report has been anonymized. All dates are offset from the actual dates by a fixed interval associated with the patient.</x:v>
      </x:c>
      <x:c r="G213" s="28" t="str">
        <x:v>Improved</x:v>
      </x:c>
      <x:c r="H213" s="29" t="str"/>
      <x:c r="I213" s="29" t="str"/>
      <x:c r="J213" s="29" t="str"/>
      <x:c r="K213" s="30"/>
      <x:c r="L213" s="29" t="str"/>
      <x:c r="M213" s="31" t="str">
        <x:f>IF(H213="","待填写标签",IF(AND(H213="Unusable",I213=""),"需填写不可用原因",IF(J213="","需填写审核人",IF(K213="","需填写日期","完成"))))</x:f>
        <x:v>待填写标签</x:v>
      </x:c>
    </x:row>
    <x:row r="214" ht="72" customHeight="1">
      <x:c r="A214" s="25" t="n">
        <x:v>213</x:v>
      </x:c>
      <x:c r="B214" s="26" t="str">
        <x:v>review_0054</x:v>
      </x:c>
      <x:c r="C214" s="26" t="str">
        <x:v>chexpert_plus</x:v>
      </x:c>
      <x:c r="D214" s="27" t="str">
        <x:v>Lung Opacity</x:v>
      </x:c>
      <x:c r="E214" s="27" t="str">
        <x:v>NARRATIVE:
AP PORTABLE UPRIGHT VIEW OF THE CHEST: 18th June 2011 AT 1418 HOURS.
COMPARISON: Single view of the chest obtained 06/18 at 0705
hours.
CLINICAL HISTORY: Subarachnoid hemorrhage, pneumonia.
IMPRESSION:
1. INTERVAL EXTUBATION AND REMOVAL OF THE NASOGASTRIC TUBE.
UNCHANGED POSITION OF THE LEFT SIDED SUBCLAVIAN LINE. EXTENSIVE
PARENCHYMAL DISEASE WITH BILATERAL PLEURAL EFFUSIONS AND BIBASILAR
CONFLUENCE, CONCERNING FOR EDEMA VERSUS ASPIRATION.
END OF IMPRESSION:
SUMMARY:4-POSSIBLE SIGNIFICANT FINDINGS, MAY NEED ACTION
I have personally reviewed the images for this examination and agree
with the report transcribed above.
By: Ragoonanan Jamison, MD  on: 6/18/2011
ACCESSION NUMBER:
jjBnF
This report has been anonymized. All dates are offset from the actual dates by a fixed interval associated with the patient.</x:v>
      </x:c>
      <x:c r="F214" s="27" t="str">
        <x:v>NARRATIVE:
AP PORTABLE SEMI-ERECT VIEW OF THE CHEST: 6-25-2009 AT 0759 HOURS.
COMPARISON: Single view of the chest obtained on 6/25/2009 at 1418
hours.
CLINICAL HISTORY: Subarachnoid hemorrhage, pneumothorax.
IMPRESSION:
1. UNCHANGED POSITION OF THE LEFT SIDED SUBCLAVIAN LINE. STABLE
CARDIOMEGALY. MIXED INTERSTITIAL ALVEOLAR EDEMA IN THE PERIHILAR
REGION WITH SLIGHT IMPROVEMENT FROM PREVIOUS EXAMINATION. IMPROVED
BIBASILAR OPACITIES AND BILATERAL PLEURAL EFFUSIONS.
END OF IMPRESSION:
SUMMARY:2-ABNORMAL, PREVIOUSLY REPORTED
I have personally reviewed the images for this examination and agree
with the report transcribed above.
By: Jackson, MD  on: June 2009
ACCESSION NUMBER:
3GC5EXHAIQFA
This report has been anonymized. All dates are offset from the actual dates by a fixed interval associated with the patient.</x:v>
      </x:c>
      <x:c r="G214" s="28" t="str">
        <x:v>Improved</x:v>
      </x:c>
      <x:c r="H214" s="29" t="str"/>
      <x:c r="I214" s="29" t="str"/>
      <x:c r="J214" s="29" t="str"/>
      <x:c r="K214" s="30"/>
      <x:c r="L214" s="29" t="str"/>
      <x:c r="M214" s="31" t="str">
        <x:f>IF(H214="","待填写标签",IF(AND(H214="Unusable",I214=""),"需填写不可用原因",IF(J214="","需填写审核人",IF(K214="","需填写日期","完成"))))</x:f>
        <x:v>待填写标签</x:v>
      </x:c>
    </x:row>
    <x:row r="215" ht="72" customHeight="1">
      <x:c r="A215" s="25" t="n">
        <x:v>214</x:v>
      </x:c>
      <x:c r="B215" s="26" t="str">
        <x:v>review_0209</x:v>
      </x:c>
      <x:c r="C215" s="26" t="str">
        <x:v>mimic_cxr_jpg</x:v>
      </x:c>
      <x:c r="D215" s="27" t="str">
        <x:v>Lung Opacity</x:v>
      </x:c>
      <x:c r="E215" s="27" t="str">
        <x:v>FINAL REPORT
 AP CHEST, 5:07 A.M. ON ___
 HISTORY:  ___-year-old man with orthopedic injuries after motor vehicle
 collision, as well as splenic laceration and poor respiratory function.  Now
 febrile.
 IMPRESSION:  AP chest compared to ___.
 Previous consolidation in the right upper lobe has largely cleared, indicating
 this was probably atelectasis, but there is still substantial right lower lobe
 atelectasis, and an increase in moderate right pleural effusion as well as
 consolidation in the superior segment of the right lower lobe.  These findings
 suggest retention of secretions, perhaps related to aspiration.
 Left lung is clear of any focal abnormality.  Mild cardiomegaly and vascular
 congestion in the lungs and mediastinum attests to volume overload.
 ET tube tip at the upper margin of the clavicles, right subclavian line in the
 low SVC are in standard placements and a nasogastric tube would need to be
 advanced at least 6 cm to move all the side ports into the stomach.  No
 pneumothorax.</x:v>
      </x:c>
      <x:c r="F215" s="27" t="str">
        <x:v>FINAL REPORT
 CHEST RADIOGRAPH
 INDICATION:  Motor vehicle accident, evaluation for aspiration pneumonia.
 COMPARISON:  ___.
 FINDINGS:  As compared to the previous image, the patient has been extubated
 and the nasogastric tube was removed.  The right subclavian catheter is in
 unchanged position.
 The pre-existing opacity at the right lung base has decreased in extent and
 severity.  The mild retrocardiac atelectasis is unchanged.  Unchanged
 appearance of the cardiac silhouette.  No pneumothorax.  Unchanged hilar and
 mediastinal contours.</x:v>
      </x:c>
      <x:c r="G215" s="28" t="str">
        <x:v>Improved</x:v>
      </x:c>
      <x:c r="H215" s="29" t="str"/>
      <x:c r="I215" s="29" t="str"/>
      <x:c r="J215" s="29" t="str"/>
      <x:c r="K215" s="30"/>
      <x:c r="L215" s="29" t="str"/>
      <x:c r="M215" s="31" t="str">
        <x:f>IF(H215="","待填写标签",IF(AND(H215="Unusable",I215=""),"需填写不可用原因",IF(J215="","需填写审核人",IF(K215="","需填写日期","完成"))))</x:f>
        <x:v>待填写标签</x:v>
      </x:c>
    </x:row>
    <x:row r="216" ht="72" customHeight="1">
      <x:c r="A216" s="25" t="n">
        <x:v>215</x:v>
      </x:c>
      <x:c r="B216" s="26" t="str">
        <x:v>review_0037</x:v>
      </x:c>
      <x:c r="C216" s="26" t="str">
        <x:v>mimic_cxr_jpg</x:v>
      </x:c>
      <x:c r="D216" s="27" t="str">
        <x:v>Cardiomegaly</x:v>
      </x:c>
      <x:c r="E216" s="27" t="str">
        <x:v>FINAL REPORT
 EXAMINATION:  CHEST (PORTABLE AP)
 INDICATION:  ___ year old man with hypoxia  // pulmonary edema?      pulmonary
 edema?
 IMPRESSION: 
 In comparison with study of ___, there is mild indistinctness of
 pulmonary vessels consistent with the clinical impression of some elevation of
 pulmonary venous pressure.  Striking enlargement of the region of the aortic
 knob and proximal descending aorta is again seen.  The left hemidiaphragm is
 poorly visualized, suggesting pleural fluid and atelectatic changes of the
 underlying lung.  Mild atelectatic changes are seen on the right.</x:v>
      </x:c>
      <x:c r="F216" s="27" t="str">
        <x:v>FINAL REPORT
 EXAMINATION:  CHEST (PORTABLE AP)
 INDICATION:  ___ year old man with PE with ongoing hypoxia  // interval changes
 in pulm edema
 TECHNIQUE:  Single frontal view of the chest.
 COMPARISON:  Chest radiographs dated ___.
 CT torso dated ___.
 FINDINGS: 
 Compared to chest radiographs from ___, lung volumes have improved,
 as well as left pleural effusion and bibasilar atelectasis.  No appreciable
 effusion on the right.  Moderate cardiomegaly is unchanged. There is no
 central vascular congestion or overt pulmonary edema.  No focal consolidation.
 No pneumothorax.  Significant dilatation of the descending thoracic aorta is
 consistent with known thoracic aortic aneurysm, better assessed on prior CT.
 IMPRESSION:
 1. Significantly improved left pleural effusion and bibasilar atelectasis.
 2. Stable moderate cardiomegaly.
 3. Stable appearance of dilated descending thoracic aorta, consistent with
 known thoracic aortic aneurysm, better characterized on prior CT.</x:v>
      </x:c>
      <x:c r="G216" s="28" t="str">
        <x:v>Stable</x:v>
      </x:c>
      <x:c r="H216" s="29" t="str"/>
      <x:c r="I216" s="29" t="str"/>
      <x:c r="J216" s="29" t="str"/>
      <x:c r="K216" s="30"/>
      <x:c r="L216" s="29" t="str"/>
      <x:c r="M216" s="31" t="str">
        <x:f>IF(H216="","待填写标签",IF(AND(H216="Unusable",I216=""),"需填写不可用原因",IF(J216="","需填写审核人",IF(K216="","需填写日期","完成"))))</x:f>
        <x:v>待填写标签</x:v>
      </x:c>
    </x:row>
    <x:row r="217" ht="72" customHeight="1">
      <x:c r="A217" s="25" t="n">
        <x:v>216</x:v>
      </x:c>
      <x:c r="B217" s="26" t="str">
        <x:v>review_0201</x:v>
      </x:c>
      <x:c r="C217" s="26" t="str">
        <x:v>mimic_cxr_jpg</x:v>
      </x:c>
      <x:c r="D217" s="27" t="str">
        <x:v>Lung Opacity</x:v>
      </x:c>
      <x:c r="E217" s="27" t="str">
        <x:v>FINAL REPORT
 EXAMINATION:  CHEST (PORTABLE AP)
 INDICATION:  ___ M w/hx of ___ ___ and J-tube placement in
 ___, HTN, HLD, no prior hx of vascular or liver dz, who came into the ED with
 acute onset LLE ischemia, sepsis  // interval change
 IMPRESSION: 
 In comparison to ___ chest radiograph, a left pleural pigtail
 catheter has slightly changed in position, with associated minimal increase in
 size of a small left apicolateral pneumothorax.  Asymmetrically distributed
 heterogeneous pulmonary opacities have decreased in severity in the interval
 in remain more prominent in the left lung than the right.  Small right pleural
 effusion is a persistent finding.</x:v>
      </x:c>
      <x:c r="F217" s="27" t="str">
        <x:v>FINAL REPORT
 EXAMINATION:  CHEST (PORTABLE AP)
 INDICATION:  ___ year old man with chest tube  // chest tube
 TECHNIQUE:  Single frontal view of the chest.
 COMPARISON:  Same-day chest radiographs.
 FINDINGS: 
 In comparison with chest radiographs from earlier this morning, there has been
 minimal improvement of a small left apicolateral pneumothorax with slight
 change position of left pleural pigtail catheter, more superior in position
 compared to prior study.  In addition, there has been interval development of
 right lower lobe collapse.  Right pleural effusion has increased in size and a
 small left pleural effusion has developed, with evidence of layering
 bilaterally.  Asymmetric heterogeneous pulmonary opacities, left greater than
 right, have not significantly changed.  Endotracheal tube is partially
 visualized and terminates approximately ___.5 cm above the carina.
 IMPRESSION:
 1. Persistent small left apicolateral pneumothorax with left pleural pigtail
 catheter in slightly more superior position compared to prior study.
 2. Right lower lobe collapse, new since prior study.
 3. Interval worsening of right pleural effusion with newly developed left
 pleural effusion, with evidence of layering bilaterally.
 4. Unchanged asymmetric left greater than right heterogeneous pulmonary
 opacities.</x:v>
      </x:c>
      <x:c r="G217" s="28" t="str">
        <x:v>Worse</x:v>
      </x:c>
      <x:c r="H217" s="29" t="str"/>
      <x:c r="I217" s="29" t="str"/>
      <x:c r="J217" s="29" t="str"/>
      <x:c r="K217" s="30"/>
      <x:c r="L217" s="29" t="str"/>
      <x:c r="M217" s="31" t="str">
        <x:f>IF(H217="","待填写标签",IF(AND(H217="Unusable",I217=""),"需填写不可用原因",IF(J217="","需填写审核人",IF(K217="","需填写日期","完成"))))</x:f>
        <x:v>待填写标签</x:v>
      </x:c>
    </x:row>
    <x:row r="218" ht="72" customHeight="1">
      <x:c r="A218" s="25" t="n">
        <x:v>217</x:v>
      </x:c>
      <x:c r="B218" s="26" t="str">
        <x:v>review_0163</x:v>
      </x:c>
      <x:c r="C218" s="26" t="str">
        <x:v>chexpert_plus</x:v>
      </x:c>
      <x:c r="D218" s="27" t="str">
        <x:v>Lung Opacity</x:v>
      </x:c>
      <x:c r="E218" s="27" t="str">
        <x:v>NARRATIVE:
PORTABLE CHEST SINGLE VIEW: 7-15-2005
COMPARISON: None.
CLINICAL HISTORY: Shortness of breath.
FINDINGS: There is mild left lower lobe atelectasis. There is
also blunting of the left costophrenic angle. Lungs otherwise
clear. No focal consolidation. Cardiomediastinal silhouette
appears unremarkable. There is demonstration of mild bilateral
apical pleural parenchymal scarring.
IMPRESSION:
1. MILD LEFT LOWER LOBE ATELECTASIS.
2. MILD BLUNTING OF THE LEFT COSTOPHRENIC ANGLE.
3. CARDIOMEDIASTINAL SILHOUETTE APPEARS UNREMARKABLE. NO FOCAL
CONSOLIDATION.
END OF IMPRESSION:
SUMMARY: 4 POSSIBLE SIGNIFICANT FINDINGS, MAY NEED ACTION
I have personally reviewed the images for this examination and agree
with the report transcribed above.
By: Bradley, Francis A  on: 7-15-2005
ACCESSION NUMBER:
96968528
This report has been anonymized. All dates are offset from the actual dates by a fixed interval associated with the patient.</x:v>
      </x:c>
      <x:c r="F218" s="27" t="str">
        <x:v>NARRATIVE:
COMPARISON: 9/13/2004.
CLINICAL HISTORY: 62-year-old with asthma exacerbation.
FINDINGS: Single portable upright chest radiograph demonstrates
resolution of left basilar linear opacity, likely representing
resolving subsegmental atelectasis. Blunting of the left
costophrenic angle is again seen and likely represents a small left
pleural effusion. The lungs are without focal consolidation.
There is no pulmonary edema. Cardiomediastinal silhouette is
within normal limits.
IMPRESSION:
1. DECREASED LEFT BASILAR SUBSEGMENTAL ATELECTASIS.
2. PERSISTENT MILD BLUNTING OF THE LEFT COSTOPHRENIC ANGLE LIKELY
INDICATIVE OF A SMALL LEFT PLEURAL EFFUSION.
END OF IMPRESSION
SUMMARY: 2 ABNORMAL, PREVIOUSLY REPORTED
I have personally reviewed the images for this examination and agree
with the report transcribed above.
By: Leighton R Jackson, MD  on: 9/13/2004
ACCESSION NUMBER:
IWAQOYJP
This report has been anonymized. All dates are offset from the actual dates by a fixed interval associated with the patient.</x:v>
      </x:c>
      <x:c r="G218" s="28" t="str">
        <x:v>Resolved</x:v>
      </x:c>
      <x:c r="H218" s="29" t="str"/>
      <x:c r="I218" s="29" t="str"/>
      <x:c r="J218" s="29" t="str"/>
      <x:c r="K218" s="30"/>
      <x:c r="L218" s="29" t="str"/>
      <x:c r="M218" s="31" t="str">
        <x:f>IF(H218="","待填写标签",IF(AND(H218="Unusable",I218=""),"需填写不可用原因",IF(J218="","需填写审核人",IF(K218="","需填写日期","完成"))))</x:f>
        <x:v>待填写标签</x:v>
      </x:c>
    </x:row>
    <x:row r="219" ht="72" customHeight="1">
      <x:c r="A219" s="25" t="n">
        <x:v>218</x:v>
      </x:c>
      <x:c r="B219" s="26" t="str">
        <x:v>review_0130</x:v>
      </x:c>
      <x:c r="C219" s="26" t="str">
        <x:v>chexpert_plus</x:v>
      </x:c>
      <x:c r="D219" s="27" t="str">
        <x:v>Cardiomegaly</x:v>
      </x:c>
      <x:c r="E219" s="27" t="str">
        <x:v>NARRATIVE:
Chest 2 Views: 5-25-02
HISTORY: 54-year-old woman with diabetes and on dialysis, presenting 
with fever and shortness of breath.
COMPARISON: Chest x-ray 5/25/2002
FINDINGS: 
The cardiomediastinal silhouette is within normal limits.  There is 
interval development of increased interstitial markings.  No focal 
consolidation.  Small right more than left pleural effusions are also 
new.  The osseous structures and soft tissues are unremarkable for 
age.  Cholecystectomy clips are incidentally noted.  The lateral view 
is mildly limited by the arms being down.
IMPRESSION: 
1.  NEW INTERSTITIAL PROMINENCE, IN THE SETTING OF FEVER AND 
SHORTNESS OF BREATH, ARE SUGGESTIVE OF ATYPICAL/VIRAL INFECTION OR 
EARLY BRONCHOPNEUMONIA, OVER PULMONARY EDEMA.  NO EVIDENCE FOR LOBAR 
CONSOLIDATION AT THIS TIME.
2.  NEW SMALL BILATERAL PLEURAL EFFUSIONS, WHICH LIKELY REPRESENT A 
COEXISTENT COMPONENT OF FLUID OVERLOAD.  HEART SIZE REMAINS WITHIN 
NORMAL LIMITS.
SUMMARY:4-POSSIBLY SIGNIFICANT FINDING, MAY NEED ACTION
Findings discussed with hanson angelica j., md on 5-25-2002 at 0851 hrs
ACCESSION NUMBER:
#8897241
This report has been anonymized. All dates are offset from the actual dates by a fixed interval associated with the patient.</x:v>
      </x:c>
      <x:c r="F219" s="27" t="str">
        <x:v>NARRATIVE:
Exam: Chest 1 View, 6/14/2012
Clinical History: 54 year old Female, "Line placement."
Comparison: Chest x-ray from 06/14/12 and 0358 hrs
Findings: 
Single portable upright frontal view of the chest from 6-14-2012 
1404 hrs demonstrates interval placement of a right internal jugular 
central venous catheter with its tip likely near the confluence of 
the subclavian vein and internal jugular vein.  There is no 
pneumothorax.  Lung volumes remain low with opacities at the lung 
bases and likely small bilateral pleural effusions, likely partially 
loculated on the left.  The heart remains enlarged.
Follow-up semiupright portable frontal view of the chest from 6/14/2012, 2014 and 1716 hrs demonstrates interval replacement of the right 
internal there is a venous catheter with its tip now in the mid 
superior vena cava.  There appears to be worsening pulmonary edema.  
No other interval changes.
A third follow-up radiograph from 2012/06/14 and 0403 hrs 
demonstrates no change in the bilateral pleural effusions, or mild 
pulmonary edema.  The heart remains enlarged.  There is interval 
improved aeration at the right lung base.  There continues to be 
dense atelectasis or consolidation at the left lung base.  The right 
internal jugular central venous catheter is unchanged in position.
IMPRESSION:
1.  INTERVAL PLACEMENT OF A NEW RIGHT INTERNAL JUGULAR CENTRAL VENOUS 
CATHETER WITH ITS TIP IN THE MIDSUPERIOR VENA CAVA AND NO 
PNEUMOTHORAX.
2.  INTERVAL WORSENING MILD PULMONARY EDEMA.
3.  IMPROVED AERATION AT THE RIGHT LUNG BASE WITH PERSISTING DENSE 
ATELECTASIS AT THE LEFT LUNG BASE.
4.  UNCHANGED CARDIOMEGALY.
5.  GROSSLY UNCHANGED SMALL BILATERAL PLEURAL EFFUSIONS WITH A 
LOCULATED COMPONENT ON THE LEFT.
SUMMARY:4-POSSIBLY SIGNIFICANT FINDING, MAY NEED ACTION
I have personally reviewed the images for this examination and agreed
with the report transcribed above.
ACCESSION NUMBER:
7154407945477
This report has been anonymized. All dates are offset from the actual dates by a fixed interval associated with the patient.</x:v>
      </x:c>
      <x:c r="G219" s="28" t="str">
        <x:v>New</x:v>
      </x:c>
      <x:c r="H219" s="29" t="str"/>
      <x:c r="I219" s="29" t="str"/>
      <x:c r="J219" s="29" t="str"/>
      <x:c r="K219" s="30"/>
      <x:c r="L219" s="29" t="str"/>
      <x:c r="M219" s="31" t="str">
        <x:f>IF(H219="","待填写标签",IF(AND(H219="Unusable",I219=""),"需填写不可用原因",IF(J219="","需填写审核人",IF(K219="","需填写日期","完成"))))</x:f>
        <x:v>待填写标签</x:v>
      </x:c>
    </x:row>
    <x:row r="220" ht="72" customHeight="1">
      <x:c r="A220" s="25" t="n">
        <x:v>219</x:v>
      </x:c>
      <x:c r="B220" s="26" t="str">
        <x:v>review_0084</x:v>
      </x:c>
      <x:c r="C220" s="26" t="str">
        <x:v>mimic_cxr_jpg</x:v>
      </x:c>
      <x:c r="D220" s="27" t="str">
        <x:v>Lung Opacity</x:v>
      </x:c>
      <x:c r="E220" s="27" t="str">
        <x:v>FINAL REPORT
 EXAMINATION:  PA and lateral views of the chest
 INDICATION:  ___ year old man with COPD and hx of pneumonias and know lung
 opacity.  // assess interval change? any consolidation?
 TECHNIQUE:  Chest:  Frontal and Lateral
 COMPARISON:  Prior radiographs on ___
 FINDINGS: 
 Compared with prior radiographs on ___, bilateral lower lobe
 consolidations are no worse than prior and possibly represent recurrent
 chronic aspiration. There is right basilar atelectasis. There is no new focal
 consolidation.  There is stable cardiomegaly, a small left pleural effusion
 and mild pulmonary edema.  No pneumothorax.
 IMPRESSION: 
 Bilateral lower lobe consolidations are no worse than prior, and may represent
 chronic recurrent aspiration.  Mild heart failure.</x:v>
      </x:c>
      <x:c r="F220" s="27" t="str">
        <x:v>FINAL REPORT
 EXAMINATION:  CHEST (PORTABLE AP)
 INDICATION:  ___ year old man with PICC  // Assess PICC line placement     
 Assess PICC line placement
 IMPRESSION: 
 Comparison to ___.  The patient has received a right-sided PICC
 line.  The course of the line is unremarkable, the tip of the line projects
 over the mid SVC.  No complications, notably no pneumothorax.  A new
 parenchymal opacity is seen at the lateral aspect of the right upper lobe
 basis.  The opacity could reflect pneumonia.  Re evaluation with a frontal and
 lateral radiograph.  Within 12 hr as well as correlation with the clinical
 presentation should be performed.  Moderate cardiomegaly persists.  Mild
 elongation of the descending aorta.</x:v>
      </x:c>
      <x:c r="G220" s="28" t="str">
        <x:v>New</x:v>
      </x:c>
      <x:c r="H220" s="29" t="str"/>
      <x:c r="I220" s="29" t="str"/>
      <x:c r="J220" s="29" t="str"/>
      <x:c r="K220" s="30"/>
      <x:c r="L220" s="29" t="str"/>
      <x:c r="M220" s="31" t="str">
        <x:f>IF(H220="","待填写标签",IF(AND(H220="Unusable",I220=""),"需填写不可用原因",IF(J220="","需填写审核人",IF(K220="","需填写日期","完成"))))</x:f>
        <x:v>待填写标签</x:v>
      </x:c>
    </x:row>
    <x:row r="221" ht="72" customHeight="1">
      <x:c r="A221" s="25" t="n">
        <x:v>220</x:v>
      </x:c>
      <x:c r="B221" s="26" t="str">
        <x:v>review_0052</x:v>
      </x:c>
      <x:c r="C221" s="26" t="str">
        <x:v>chexpert_plus</x:v>
      </x:c>
      <x:c r="D221" s="27" t="str">
        <x:v>Pneumothorax</x:v>
      </x:c>
      <x:c r="E221" s="27" t="str">
        <x:v>NARRATIVE:
SINGLE VIEW OF THE CHEST:    6-9-04
 COMPARISON:    06-09.
 IMPRESSION: 
 1.   STERNOTOMY WIRES, RIGHT INTERNAL JUGULAR SHEATH, MEDIASTINAL 
TUBE AND LEFT   CHEST TUBE IN PLACE, UNCHANGED.
 2.   INTERVAL DEVELOPMENT OF A MODERATELY SIZED RIGHT PNEUMOTHORAX. 
 3.   MILD EDEMA, UNCHANGED.   FINDINGS COMMUNICATED TO Mathis Aailiyah N, MD. 
 SUMMARY:4-POSSIBLE SIGNIFICANT FINDINGS, MAY NEED ACTION
ACCESSION NUMBER:
779139
This report has been anonymized. All dates are offset from the actual dates by a fixed interval associated with the patient.</x:v>
      </x:c>
      <x:c r="F221" s="27" t="str">
        <x:v>NARRATIVE:
SINGLE VIEW PORTABLE CHEST:  7/21/2012 at 1105 hours 
 COMPARISON:  7-21-12 at 0402 hours 
 IMPRESSION: 
 1.  INTERVAL PLACEMENT OF A RIGHT PLEURAL PIGTAIL DRAIN/CATHETER. 
THE RIGHT PNEUMOTHORAX HAS RESOLVED. 
 2.  INTERVAL DEVELOPMENT OF A BAND-LIKE RIGHT BASE AREA OF 
ATELECTASIS, OTHERWISE, THERE IS NO INTERVAL CHANGE. 
 3.  STERNOTOMY WIRES, MEDIASTINAL AND LEFT CHEST TUBES, RIGHT 
INTERNAL JUGULAR LINE IN PLACE. PERSISTENT MILD EDEMA AND LEFT LOWER 
LOBE OPACITY. 
 SUMMARY:2-ABNORMAL, PREVIOUSLY REPORTED
ACCESSION NUMBER:
8007995
This report has been anonymized. All dates are offset from the actual dates by a fixed interval associated with the patient.</x:v>
      </x:c>
      <x:c r="G221" s="28" t="str">
        <x:v>Resolved</x:v>
      </x:c>
      <x:c r="H221" s="29" t="str"/>
      <x:c r="I221" s="29" t="str"/>
      <x:c r="J221" s="29" t="str"/>
      <x:c r="K221" s="30"/>
      <x:c r="L221" s="29" t="str"/>
      <x:c r="M221" s="31" t="str">
        <x:f>IF(H221="","待填写标签",IF(AND(H221="Unusable",I221=""),"需填写不可用原因",IF(J221="","需填写审核人",IF(K221="","需填写日期","完成"))))</x:f>
        <x:v>待填写标签</x:v>
      </x:c>
    </x:row>
    <x:row r="222" ht="72" customHeight="1">
      <x:c r="A222" s="25" t="n">
        <x:v>221</x:v>
      </x:c>
      <x:c r="B222" s="26" t="str">
        <x:v>review_0113</x:v>
      </x:c>
      <x:c r="C222" s="26" t="str">
        <x:v>mimic_cxr_jpg</x:v>
      </x:c>
      <x:c r="D222" s="27" t="str">
        <x:v>Atelectasis</x:v>
      </x:c>
      <x:c r="E222" s="27" t="str">
        <x:v>FINAL REPORT
 AP CHEST, 4:53 A.M., ___
 HISTORY:  ___-year-old man with CHF, causing respiratory failure, question
 pleural effusion or pulmonary edema.
 Mild pulmonary edema is new, accompanied by new small right pleural effusion. 
 Left pleural effusion is stable.  Severe cardiomegaly has worsened.  Enteric
 drainage tube passes into a non-distended stomach and out of view.  Left PIC
 line is not as readily visible today as it was yesterday, but appears to end
 once again in the azygos vein.  No pneumothorax.  Dr. ___ was paged.</x:v>
      </x:c>
      <x:c r="F222" s="27" t="str">
        <x:v>WET READ: ___ ___ ___ 8:50 PM
   Left upper extremity PICC now terminates in the upper to mid SVC.  Enteric
  tube unchanged.  Worsening opacity at the left lung base is worrisome for
  pneumonia.  Mild pulmonary edema is unchanged.  No pneumothorax.  
 ______________________________________________________________________________
                                 FINAL REPORT
 HISTORY:  Atrial fibrillation.  PICC line misplaced earlier.
 IMPRESSION:  AP chest compared to ___ and ___ at 4:53 p.m.:
 Left PICC line has been re-positioned low in the SVC.  Left lower lobe
 atelectasis is worsened.  Right lung is grossly clear.  At least mild
 cardiomegaly is present, but cardiac silhouette is poorly defined. 
 Nasogastric drainage tube passes into the stomach and out of view.  No
 pneumothorax.</x:v>
      </x:c>
      <x:c r="G222" s="28" t="str">
        <x:v>Worse</x:v>
      </x:c>
      <x:c r="H222" s="29" t="str"/>
      <x:c r="I222" s="29" t="str"/>
      <x:c r="J222" s="29" t="str"/>
      <x:c r="K222" s="30"/>
      <x:c r="L222" s="29" t="str"/>
      <x:c r="M222" s="31" t="str">
        <x:f>IF(H222="","待填写标签",IF(AND(H222="Unusable",I222=""),"需填写不可用原因",IF(J222="","需填写审核人",IF(K222="","需填写日期","完成"))))</x:f>
        <x:v>待填写标签</x:v>
      </x:c>
    </x:row>
    <x:row r="223" ht="72" customHeight="1">
      <x:c r="A223" s="25" t="n">
        <x:v>222</x:v>
      </x:c>
      <x:c r="B223" s="26" t="str">
        <x:v>review_0017</x:v>
      </x:c>
      <x:c r="C223" s="26" t="str">
        <x:v>chexpert_plus</x:v>
      </x:c>
      <x:c r="D223" s="27" t="str">
        <x:v>Edema</x:v>
      </x:c>
      <x:c r="E223" s="27" t="str">
        <x:v>NARRATIVE:
Exam: Chest 1 View, 10-8-2018
Clinical History: 63 years Male with on ventilator
Comparison: 10-8-18
IMPRESSION:
1.AP SEMIERECT CHEST RADIOGRAPH DEMONSTRATES INSULAR WELL ADVANCED OF 
THE NASOGASTRIC TUBE, WITH THE TIP AND SIDE PORT NOW BELOW THE LEFT 
HEMIDIAPHRAGM.  THE TRACHEOSTOMY TUBE, FEEDING TUBE AND LEFT AXILLARY 
LINE APPEAR IN STABLE POSITION.
2.LEFT-SIDED SINGLE LEAD PACEMAKER.
3.THERE IS MARKEDLY INCREASED OF THE LEFT LUNG BASE, WITH ASSOCIATED 
PLEURAL EFFUSION, BUT NO MEDIASTINAL SHIFT. PROMINENT RETICULAR 
MARKINGS ARE SEEN IN THE AERATED PORTION OF THE LEFT UPPER LUNG.
4.THE RIGHT LUNG APPEARS CLEAR.
5.SPINAL FUSION HARDWARE IS AGAIN SEEN IN THE LOWER THORACIC SPINE.  
SUMMARY:4-POSSIBLY SIGNIFICANT FINDING, MAY NEED ACTION
ACCESSION NUMBER:
6-2-0-3-7-5-9-4-6
This report has been anonymized. All dates are offset from the actual dates by a fixed interval associated with the patient.</x:v>
      </x:c>
      <x:c r="F223" s="27" t="str">
        <x:v>NARRATIVE:
EXAM: Chest 1 View 7-23-2003
CLINICAL HISTORY: Icu, trachesotomy, mucous plugging
COMPARISON: 7-23-2003   
IMPRESSION:
1.SINGLE FRONTAL VIEW OF THE CHEST DEMONSTRATES UNCHANGED LINES AND 
TUBES.
2.STABLE LEFT BASE OPACITY.
3.STABLE MODERATE LEFT PLEURAL EFFUSION.
4.STABLE MILD PULMONARY EDEMA.
 SUMMARY: 2-ABNORMAL, PREVIOUSLY REPORTED  
I have personally reviewed the images for this examination and agreed
with the report transcribed above.
ACCESSION NUMBER:
#078458206
This report has been anonymized. All dates are offset from the actual dates by a fixed interval associated with the patient.</x:v>
      </x:c>
      <x:c r="G223" s="28" t="str">
        <x:v>New</x:v>
      </x:c>
      <x:c r="H223" s="29" t="str"/>
      <x:c r="I223" s="29" t="str"/>
      <x:c r="J223" s="29" t="str"/>
      <x:c r="K223" s="30"/>
      <x:c r="L223" s="29" t="str"/>
      <x:c r="M223" s="31" t="str">
        <x:f>IF(H223="","待填写标签",IF(AND(H223="Unusable",I223=""),"需填写不可用原因",IF(J223="","需填写审核人",IF(K223="","需填写日期","完成"))))</x:f>
        <x:v>待填写标签</x:v>
      </x:c>
    </x:row>
    <x:row r="224" ht="72" customHeight="1">
      <x:c r="A224" s="25" t="n">
        <x:v>223</x:v>
      </x:c>
      <x:c r="B224" s="26" t="str">
        <x:v>review_0015</x:v>
      </x:c>
      <x:c r="C224" s="26" t="str">
        <x:v>mimic_cxr_jpg</x:v>
      </x:c>
      <x:c r="D224" s="27" t="str">
        <x:v>Consolidation</x:v>
      </x:c>
      <x:c r="E224" s="27" t="str">
        <x:v>FINAL REPORT
 EXAMINATION:  CHEST (PORTABLE AP)
 INDICATION:  ___ year old woman with respiratory distress  // Interval changes 
 Interval changes
 IMPRESSION: 
 In comparison with the study of ___, there is little change in the severe
 right upper lung on consolidation with continued opacification also within the
 left mid an lower lung, all consistent with widespread multifocal pneumonia.
 Monitoring and support devices are unchanged.</x:v>
      </x:c>
      <x:c r="F224" s="27" t="str">
        <x:v>FINAL REPORT
 EXAMINATION:  CHEST (PORTABLE AP)
 INDICATION:  ___F w/mediastinal mass, please eval for interval change  // ___F
 w/mediastinal mass, please eval for interval change      ___F w/mediastinal
 mass, please eval for interval change
 IMPRESSION: 
 NG tube tip is at the cavoatrial junction and should be further advanced. 
 Left chest tube is in place.  Tracheostomy and bilateral bronchial stents are
 present.  Right upper lung consolidation is unchanged.  Right PICC line tip is
 at the level of cavoatrial junction.  Overall there is slightly more
 pronounced left.  Perihilar opacities, concerning for progression of infection
 or pulmonary edema.</x:v>
      </x:c>
      <x:c r="G224" s="28" t="str">
        <x:v>Worse</x:v>
      </x:c>
      <x:c r="H224" s="29" t="str"/>
      <x:c r="I224" s="29" t="str"/>
      <x:c r="J224" s="29" t="str"/>
      <x:c r="K224" s="30"/>
      <x:c r="L224" s="29" t="str"/>
      <x:c r="M224" s="31" t="str">
        <x:f>IF(H224="","待填写标签",IF(AND(H224="Unusable",I224=""),"需填写不可用原因",IF(J224="","需填写审核人",IF(K224="","需填写日期","完成"))))</x:f>
        <x:v>待填写标签</x:v>
      </x:c>
    </x:row>
    <x:row r="225" ht="72" customHeight="1">
      <x:c r="A225" s="25" t="n">
        <x:v>224</x:v>
      </x:c>
      <x:c r="B225" s="26" t="str">
        <x:v>review_0150</x:v>
      </x:c>
      <x:c r="C225" s="26" t="str">
        <x:v>mimic_cxr_jpg</x:v>
      </x:c>
      <x:c r="D225" s="27" t="str">
        <x:v>Consolidation</x:v>
      </x:c>
      <x:c r="E225" s="27" t="str">
        <x:v>FINAL REPORT
 EXAMINATION:  CHEST (PORTABLE AP)
 INDICATION:  ___ with recently diagnosed metastatic lung adenocarcinoma
 metastatic to liver and brain s/p Ommaya reservoir placement ___ who presents
 with worsening hypoxia  // Interval change    Interval change
 IMPRESSION: 
 Compared to chest radiographs since ___, most recently ___.
 Moderate right pleural effusion is larger.  The right upper lobe is now
 completely airless and hyperexpanded suggesting infection may have developed
 distal to obstruction, perhaps responsible for pleural exudate, and even
 empyema.  Clinical correlation advised.  Left lung clear.  Heart size
 top-normal.</x:v>
      </x:c>
      <x:c r="F225" s="27" t="str">
        <x:v>FINAL REPORT
 EXAMINATION:  CHEST (PA AND LAT)
 INDICATION:  ___ with recently diagnosed metastatic lung adenocarcinoma
 metastatic to liver and brain s/p Ommaya reservoir placement ___ who presents
 with worsening hypoxia  // Interval change
 TECHNIQUE:  Chest PA and lateral
 COMPARISON:  Chest radiograph ___
 FINDINGS: 
 A dense right upper lobe airspace consolidation persists.  In comparison to
 the most recent study on ___, lucencies within this consolidation
 are more visible, suggesting likely a component of resolving lobar collapse or
 infection.  Rightward mediastinal shift is less pronounced.  Right pleural
 effusion has slightly decreased.  Left lung is essentially clear, without
 consolidation, effusion or pneumothorax.  Right heart border is silhouetted. 
 Aortic arch calcifications.  No acute osseous abnormalities identified.
 IMPRESSION:
 1. New lucencies within the right upper lobe consolidation, suggesting a
 component of resolving atelectasis or infection.
 2. Right pleural effusion, likely improved.</x:v>
      </x:c>
      <x:c r="G225" s="28" t="str">
        <x:v>Improved</x:v>
      </x:c>
      <x:c r="H225" s="29" t="str"/>
      <x:c r="I225" s="29" t="str"/>
      <x:c r="J225" s="29" t="str"/>
      <x:c r="K225" s="30"/>
      <x:c r="L225" s="29" t="str"/>
      <x:c r="M225" s="31" t="str">
        <x:f>IF(H225="","待填写标签",IF(AND(H225="Unusable",I225=""),"需填写不可用原因",IF(J225="","需填写审核人",IF(K225="","需填写日期","完成"))))</x:f>
        <x:v>待填写标签</x:v>
      </x:c>
    </x:row>
    <x:row r="226" ht="72" customHeight="1">
      <x:c r="A226" s="25" t="n">
        <x:v>225</x:v>
      </x:c>
      <x:c r="B226" s="26" t="str">
        <x:v>review_0055</x:v>
      </x:c>
      <x:c r="C226" s="26" t="str">
        <x:v>mimic_cxr_jpg</x:v>
      </x:c>
      <x:c r="D226" s="27" t="str">
        <x:v>Enlarged Cardiomediastinum</x:v>
      </x:c>
      <x:c r="E226" s="27" t="str">
        <x:v>FINAL REPORT
 EXAMINATION:  CHEST (PORTABLE AP)
 INDICATION:  ___ year old man with recurrent pleural effusions, renal failure,
 stenotrophomonas pneumonia  // interval change
 IMPRESSION: 
 As compared to previous radiograph of 2 days earlier, cardiomegaly is
 accompanied by pulmonary vascular congestion and decrease in extent of
 pulmonary edema.  More confluent opacity in the right lower lung persists as
 well as bilateral pleural effusions, moderate on the right and small on the
 left.</x:v>
      </x:c>
      <x:c r="F226" s="27" t="str">
        <x:v>FINAL REPORT
 INDICATION:   ___M with trach/PEG, c/f stomach contents on suction, desating 
 // aspiration
 TECHNIQUE:  Single portable view of the chest.
 COMPARISON:  CT torso from earlier the same day
 FINDINGS: 
 There are confluent bibasilar opacities due to a combination of right pleural
 effusion bilateral consolidations suspicious for infection and probable
 atelectasis.  Given differences in technique, there has been no dramatic
 interval change.  Tracheostomy tube is noted.  Calcified mediastinal lymph
 nodes are also visualized.  Cardiomediastinal silhouette is unchanged.  Median
 sternotomy wires are intact.  Right-sided dual-lumen central venous catheter
 tip is within the right atrium.  Right PICC tip is also likely in the upper
 right atrium
 IMPRESSION: 
 Bilateral right greater than left regions of consolidation and right pleural
 effusion as seen on recent chest x-ray.</x:v>
      </x:c>
      <x:c r="G226" s="28" t="str">
        <x:v>Stable</x:v>
      </x:c>
      <x:c r="H226" s="29" t="str"/>
      <x:c r="I226" s="29" t="str"/>
      <x:c r="J226" s="29" t="str"/>
      <x:c r="K226" s="30"/>
      <x:c r="L226" s="29" t="str"/>
      <x:c r="M226" s="31" t="str">
        <x:f>IF(H226="","待填写标签",IF(AND(H226="Unusable",I226=""),"需填写不可用原因",IF(J226="","需填写审核人",IF(K226="","需填写日期","完成"))))</x:f>
        <x:v>待填写标签</x:v>
      </x:c>
    </x:row>
    <x:row r="227" ht="72" customHeight="1">
      <x:c r="A227" s="25" t="n">
        <x:v>226</x:v>
      </x:c>
      <x:c r="B227" s="26" t="str">
        <x:v>review_0162</x:v>
      </x:c>
      <x:c r="C227" s="26" t="str">
        <x:v>chexpert_plus</x:v>
      </x:c>
      <x:c r="D227" s="27" t="str">
        <x:v>Edema</x:v>
      </x:c>
      <x:c r="E227" s="27" t="str">
        <x:v>NARRATIVE:
Chest 1 View Portable 8/27/17
HISTORY: Infection
COMPARISON: 8/27/17
IMPRESSION:
1.  LIMITED AP LORDOTIC PORTABLE VIEW OF THE CHEST, WHICH DISTORTS 
THE CARDIOMEDIASTINAL CONTOURS AND LIMITS EVALUATION.  
2.  LOW LUNG VOLUMES WITH CROWDING OF THE BRONCHOVASCULAR MARKINGS 
AND BIBASILAR ATELECTASIS. INCREASED DENSITY IN THE LEFT LUNG BASE 
WITH NONVISUALIZATION OF THE CONTOUR OF THE LEFT HEMIDIAPHRAGM.  
RETROCARDIAC/LEFT LOWER LOBE CONSOLIDATION CANNOT BE EXCLUDED. 
CONSIDER FULL UPRIGHT AND LATERAL VIEWS OF THE CHEST FOR BETTER 
EVALUATION.
3.  NO PNEUMOTHORAX.  THORACIC SPINE HARDWARE.  NO GROSS ACUTE 
OSSEOUS ABNORMALITY IDENTIFIED.
SUMMARY:4-POSSIBLY SIGNIFICANT FINDING, MAY NEED ACTION
ACCESSION NUMBER:
81-96-69-61-05
This report has been anonymized. All dates are offset from the actual dates by a fixed interval associated with the patient.</x:v>
      </x:c>
      <x:c r="F227" s="27" t="str">
        <x:v>NARRATIVE:
RADIOGRAPHIC EXAMINATION OF THE CHEST: 4-23-2016
CLINICAL HISTORY: 46 years of age, Male, Decreased breath sounds on L.
COMPARISON: 4/23/2016 CXR
PROCEDURE COMMENTS: Single view of the chest. 
FINDINGS:
Single AP radiograph of the chest again demonstrates extensive 
posterior spinal fusion hardware within the upper and mid thoracic 
spine. Redemonstration of low lung volumes with elevation of the left 
hemidiaphragm. Compared to prior radiograph from april 23 2016, there has 
been interval improvement in the pulmonary edema and opacity in the 
left lung base. There is some residual linear opacity in the left 
lower lobe, which may represent atelectasis versus consolidation.
IMPRESSION:
1.  Persistent low lung volumes with elevation of the left 
hemidiaphragm.
2.  Interval improvement but some persistent opacity in the left 
lower lobe, which may represent atelectasis.
3.  Interval resolution of the previously seen pulmonary edema
I have personally reviewed the images for this examination and agreed
with the report transcribed above.
ACCESSION NUMBER:
1141-04
This report has been anonymized. All dates are offset from the actual dates by a fixed interval associated with the patient.</x:v>
      </x:c>
      <x:c r="G227" s="28" t="str">
        <x:v>Resolved</x:v>
      </x:c>
      <x:c r="H227" s="29" t="str"/>
      <x:c r="I227" s="29" t="str"/>
      <x:c r="J227" s="29" t="str"/>
      <x:c r="K227" s="30"/>
      <x:c r="L227" s="29" t="str"/>
      <x:c r="M227" s="31" t="str">
        <x:f>IF(H227="","待填写标签",IF(AND(H227="Unusable",I227=""),"需填写不可用原因",IF(J227="","需填写审核人",IF(K227="","需填写日期","完成"))))</x:f>
        <x:v>待填写标签</x:v>
      </x:c>
    </x:row>
    <x:row r="228" ht="72" customHeight="1">
      <x:c r="A228" s="25" t="n">
        <x:v>227</x:v>
      </x:c>
      <x:c r="B228" s="26" t="str">
        <x:v>review_0089</x:v>
      </x:c>
      <x:c r="C228" s="26" t="str">
        <x:v>mimic_cxr_jpg</x:v>
      </x:c>
      <x:c r="D228" s="27" t="str">
        <x:v>Lung Opacity</x:v>
      </x:c>
      <x:c r="E228" s="27" t="str">
        <x:v>FINAL REPORT
 EXAMINATION:  CHEST (PORTABLE AP)
 INDICATION:  ___ year old man with dyspnea, hypoxia  // interval evaluation of
 edema, infiltrate      interval evaluation of edema, infiltrate
 IMPRESSION: 
 Comparison to ___.  Minimal decrease in extent and severity of the
 pre-existing parenchymal opacities at the lung bases.  No new opacities. 
 Stable moderate cardiomegaly.  No larger pleural effusions.  No pneumothorax.</x:v>
      </x:c>
      <x:c r="F228" s="27" t="str">
        <x:v>FINAL REPORT
 EXAMINATION:  CHEST (PORTABLE AP)
 INDICATION:  ___ y/o man with ___'s, HFpEF, paroxysmal atrial
 fibrillation who presented with hypoxia and worsening dyspnea for the past 2
 weeks.  // fluid overload, ?pna     fluid overload, ?pna
 IMPRESSION: 
 Comparison to ___.  Low lung volumes.  Moderate cardiomegaly. 
 Reticular opacities that pre existed are stable in extent and severity.  No
 pleural effusions.  No overt pulmonary edema.</x:v>
      </x:c>
      <x:c r="G228" s="28" t="str">
        <x:v>Stable</x:v>
      </x:c>
      <x:c r="H228" s="29" t="str"/>
      <x:c r="I228" s="29" t="str"/>
      <x:c r="J228" s="29" t="str"/>
      <x:c r="K228" s="30"/>
      <x:c r="L228" s="29" t="str"/>
      <x:c r="M228" s="31" t="str">
        <x:f>IF(H228="","待填写标签",IF(AND(H228="Unusable",I228=""),"需填写不可用原因",IF(J228="","需填写审核人",IF(K228="","需填写日期","完成"))))</x:f>
        <x:v>待填写标签</x:v>
      </x:c>
    </x:row>
    <x:row r="229" ht="72" customHeight="1">
      <x:c r="A229" s="25" t="n">
        <x:v>228</x:v>
      </x:c>
      <x:c r="B229" s="26" t="str">
        <x:v>review_0110</x:v>
      </x:c>
      <x:c r="C229" s="26" t="str">
        <x:v>mimic_cxr_jpg</x:v>
      </x:c>
      <x:c r="D229" s="27" t="str">
        <x:v>Pleural Effusion</x:v>
      </x:c>
      <x:c r="E229" s="27" t="str">
        <x:v>FINAL REPORT
 EXAMINATION:  Chest radiograph
 INDICATION:  ___ year old man with anemia and fall with new oxygen requirement 
 // eval for new effusions
 TECHNIQUE:  Portable AP chest radiograph
 COMPARISON:  Prior chest radiographs ___, ___.
 FINDINGS: 
 Since ___, new borderline pulmonary edema and unchanged mild bibasilar
 atelectasis are seen.  Mild to moderate cardiomegaly appears worse.  No
 pneumothorax.  Right PICC line tip terminates in the low SVC.
 IMPRESSION:
 1. New borderline pulmonary edema and unchanged mild bibasilar atelectasis
 since ___.</x:v>
      </x:c>
      <x:c r="F229" s="27" t="str">
        <x:v>FINAL REPORT
 EXAMINATION:  CHEST (PORTABLE AP)
 INDICATION:  ___ year old man with cirrhosis and GI bleed with 2nd degree burn
 on back now with increasing SOB  // interval change
 IMPRESSION: 
 As compared to ___ radiograph, partial right lower lobe
 atelectasis has developed as well as minor left lower lobe atelectasis.  Small
 bilateral pleural effusions are also apparently new.  No other relevant
 changes.</x:v>
      </x:c>
      <x:c r="G229" s="28" t="str">
        <x:v>New</x:v>
      </x:c>
      <x:c r="H229" s="29" t="str"/>
      <x:c r="I229" s="29" t="str"/>
      <x:c r="J229" s="29" t="str"/>
      <x:c r="K229" s="30"/>
      <x:c r="L229" s="29" t="str"/>
      <x:c r="M229" s="31" t="str">
        <x:f>IF(H229="","待填写标签",IF(AND(H229="Unusable",I229=""),"需填写不可用原因",IF(J229="","需填写审核人",IF(K229="","需填写日期","完成"))))</x:f>
        <x:v>待填写标签</x:v>
      </x:c>
    </x:row>
    <x:row r="230" ht="72" customHeight="1">
      <x:c r="A230" s="25" t="n">
        <x:v>229</x:v>
      </x:c>
      <x:c r="B230" s="26" t="str">
        <x:v>review_0189</x:v>
      </x:c>
      <x:c r="C230" s="26" t="str">
        <x:v>chexpert_plus</x:v>
      </x:c>
      <x:c r="D230" s="27" t="str">
        <x:v>Edema</x:v>
      </x:c>
      <x:c r="E230" s="27" t="str">
        <x:v>NARRATIVE:
Chest 1 View 7/5/2020
CLINICAL HISTORY:  62 years-old Female. Line 
COMPARISON: 7/5/2020 at 2315 hours
IMPRESSION:
1.SINGLE FRONTAL VIEW OF THE CHEST DEMONSTRATES INTERVAL PLACEMENT OF 
A RIGHT INTERNAL JUGULAR CATHETER COMPARED TO THE PRIOR EXAM, WITH 
ITS TIP PROJECTING OVER THE REGION OF THE CAVOATRIAL JUNCTION.  
OTHERWISE, THE PREVIOUSLY IDENTIFIED LINES ARE UNCHANGED IN POSITION 
COMPARED TO THE PRIOR EXAM.
2.THERE HAS BEEN AN INTERVAL INCREASE IN BIBASILAR OPACITIES COMPARED 
TO THE PRIOR EXAM, CONCERNING FOR INFECTION.
3.MILD BILATERAL PULMONARY EDEMA.
4.STABLE CARDIAC SILHOUETTE.
SUMMARY:4-POSSIBLY SIGNIFICANT FINDING, MAY NEED ACTION
I have personally reviewed the images for this examination and agreed
with the report transcribed above.
ACCESSION NUMBER:
9.4.9.7.2.0.3.3.7.3
This report has been anonymized. All dates are offset from the actual dates by a fixed interval associated with the patient.</x:v>
      </x:c>
      <x:c r="F230" s="27" t="str">
        <x:v>NARRATIVE:
COMPARISON: 5-17-2002
IMPRESSION:
1.   RIGHT IJ CENTRAL LINE REMAINS IN PLACE.  THE OLDER CENTRAL LINE 
HAS BEEN REMOVED.  NASOGASTRIC TUBE HAS BEEN PLACED WITH TIP IN THE 
STOMACH.
2.BIBASILAR OPACITIES, BILATERAL PLEURAL EFFUSIONS, AND PULMONARY 
EDEMA HAVE ALL WORSENED IN THE INTERIM.  DILATATION OF THE RIGHT 
MINOR FISSURE INDICATES RIGHT UPPER LOBE PARTIAL ATELECTASIS.
SUMMARY: 4-POSSIBLE SIGNIFICANT FINDING, MAY NEED ACTION
ACCESSION NUMBER:
96968528
This report has been anonymized. All dates are offset from the actual dates by a fixed interval associated with the patient.</x:v>
      </x:c>
      <x:c r="G230" s="28" t="str">
        <x:v>Worse</x:v>
      </x:c>
      <x:c r="H230" s="29" t="str"/>
      <x:c r="I230" s="29" t="str"/>
      <x:c r="J230" s="29" t="str"/>
      <x:c r="K230" s="30"/>
      <x:c r="L230" s="29" t="str"/>
      <x:c r="M230" s="31" t="str">
        <x:f>IF(H230="","待填写标签",IF(AND(H230="Unusable",I230=""),"需填写不可用原因",IF(J230="","需填写审核人",IF(K230="","需填写日期","完成"))))</x:f>
        <x:v>待填写标签</x:v>
      </x:c>
    </x:row>
    <x:row r="231" ht="72" customHeight="1">
      <x:c r="A231" s="25" t="n">
        <x:v>230</x:v>
      </x:c>
      <x:c r="B231" s="26" t="str">
        <x:v>review_0076</x:v>
      </x:c>
      <x:c r="C231" s="26" t="str">
        <x:v>mimic_cxr_jpg</x:v>
      </x:c>
      <x:c r="D231" s="27" t="str">
        <x:v>Pleural Effusion</x:v>
      </x:c>
      <x:c r="E231" s="27" t="str">
        <x:v>FINAL REPORT
 EXAMINATION:  CHEST (PORTABLE AP)
 INDICATION:  ___ year old man with hypoxemic resp failure  // interval change  
 interval change
 IMPRESSION: 
 In comparison with the study of ___, there is little change.  Diffuse
 bilateral pulmonary opacifications appear essentially stable</x:v>
      </x:c>
      <x:c r="F231" s="27" t="str">
        <x:v>FINAL REPORT
 EXAMINATION:  CHEST (PORTABLE AP)
 INDICATION:  ___ year old man with MRSA and PCP PN___. now with volume overload
 failing SBT  // interval eval, specifically the edema
 IMPRESSION: 
 In comparison to ___ radiograph, extensive alveolar opacities in
 the mid and lower lungs have  substantially decreased in extent, with such
 rapid improvement favoring pulmonary edema, likely coexisting with known
 pneumonia.  Bilateral pleural effusions have also decreased in size.  No other
 relevant change.</x:v>
      </x:c>
      <x:c r="G231" s="28" t="str">
        <x:v>New</x:v>
      </x:c>
      <x:c r="H231" s="29" t="str"/>
      <x:c r="I231" s="29" t="str"/>
      <x:c r="J231" s="29" t="str"/>
      <x:c r="K231" s="30"/>
      <x:c r="L231" s="29" t="str"/>
      <x:c r="M231" s="31" t="str">
        <x:f>IF(H231="","待填写标签",IF(AND(H231="Unusable",I231=""),"需填写不可用原因",IF(J231="","需填写审核人",IF(K231="","需填写日期","完成"))))</x:f>
        <x:v>待填写标签</x:v>
      </x:c>
    </x:row>
    <x:row r="232" ht="72" customHeight="1">
      <x:c r="A232" s="25" t="n">
        <x:v>231</x:v>
      </x:c>
      <x:c r="B232" s="26" t="str">
        <x:v>review_0074</x:v>
      </x:c>
      <x:c r="C232" s="26" t="str">
        <x:v>mimic_cxr_jpg</x:v>
      </x:c>
      <x:c r="D232" s="27" t="str">
        <x:v>Atelectasis</x:v>
      </x:c>
      <x:c r="E232" s="27" t="str">
        <x:v>WET READ: ___ ___ ___ 2:22 AM
  1. Endotracheal tube terminates 2.3 cm from the carina.
  2. Low lung volumes.
 ______________________________________________________________________________
                                 FINAL REPORT
 INDICATION:  ___F status post intubation, evaluate tube placement
 TECHNIQUE:  Single upright AP chest radiograph
 COMPARISON:  None.
 FINDINGS: 
 The endotracheal tube terminates 2.3 cm from the carina.  The enteric tube
 courses below the diaphragm and outside of the field of view within the
 stomach.  Low lung volumes cause bronchovascular crowding and subsegmental
 atelectasis bilaterally.  Retrocardiac and medial right lung base opacities
 likely represent atelectasis.  There is no pleural effusion or pneumothorax. 
 The cardiomediastinal silhouette is normal.  Cholecystectomy clips are noted
 in the right upper quadrant.
 IMPRESSION:
 1. Endotracheal tube terminates 2.3 cm from the carina.
 2. Low lung volumes.</x:v>
      </x:c>
      <x:c r="F232" s="27" t="str">
        <x:v>FINAL REPORT
 EXAMINATION:  CHEST (PORTABLE AP)
 INDICATION:  ___ year old woman with HTN and breast cancer admitted with
 angioedema now s/p intubation  // Please assess for interval change     Please
 assess for interval change
 IMPRESSION: 
 Compared to chest radiographs ___.
 With the chin elevated, tip of the endotracheal tube as close as 2.5 cm from
 the carina an should not be advanced.
 Peribronchial infiltration right lower lobe could be chronic scarring with
 atelectasis and possible bronchiectasis, but would need CT evaluation for
 anatomic diagnosis and comparison to prior chest radiographs to establish
 chronicity.  Left lower lobe atelectasis has improved.  Heart size top-normal.
 No appreciable pleural effusion.  No pneumothorax.  No mediastinal widening.</x:v>
      </x:c>
      <x:c r="G232" s="28" t="str">
        <x:v>Improved</x:v>
      </x:c>
      <x:c r="H232" s="29" t="str"/>
      <x:c r="I232" s="29" t="str"/>
      <x:c r="J232" s="29" t="str"/>
      <x:c r="K232" s="30"/>
      <x:c r="L232" s="29" t="str"/>
      <x:c r="M232" s="31" t="str">
        <x:f>IF(H232="","待填写标签",IF(AND(H232="Unusable",I232=""),"需填写不可用原因",IF(J232="","需填写审核人",IF(K232="","需填写日期","完成"))))</x:f>
        <x:v>待填写标签</x:v>
      </x:c>
    </x:row>
    <x:row r="233" ht="72" customHeight="1">
      <x:c r="A233" s="25" t="n">
        <x:v>232</x:v>
      </x:c>
      <x:c r="B233" s="26" t="str">
        <x:v>review_0192</x:v>
      </x:c>
      <x:c r="C233" s="26" t="str">
        <x:v>chexpert_plus</x:v>
      </x:c>
      <x:c r="D233" s="27" t="str">
        <x:v>Pleural Effusion</x:v>
      </x:c>
      <x:c r="E233" s="27" t="str">
        <x:v>NARRATIVE:
EXAM: Chest 1 View Portable, 7/19/07
CLINICAL HISTORY: Sob
COMPARISON: 7/19/2007
IMPRESSION:
1.STABLE APPEARANCE OF DUAL LEAD AICD.
2.FINDINGS SUGGESTIVE OF CONGESTIVE ART HEART FAILURE WITH INCREASING 
BIBASILAR OPACITIES, BILATERAL EFFUSIONS, AND PULMONARY EDEMA.  
3.CARDIOMEGALY.
4.ELEVATION OF THE LEFT SHOULDER GIRDLE.
SUMMARY: 4-POSSIBLE SIGNIFICANT FINDING, MAY NEED ACTION
I have personally reviewed the images for this examination and agreed
with the report transcribed above.
ACCESSION NUMBER:
56637
This report has been anonymized. All dates are offset from the actual dates by a fixed interval associated with the patient.</x:v>
      </x:c>
      <x:c r="F233" s="27" t="str">
        <x:v>NARRATIVE:
Chest 1 View, 3/4/02
HISTORY: 70 years Male, Sob, sp thoracentesis
COMPARISON: 3-4-2002
IMPRESSION:  
1.SINGLE UPRIGHT VIEW OF THE CHEST IS TECHNICALLY LIMITED DUE TO 
INCOMPLETE VISUALIZATION OF THE LEFT HEMITHORAX.  UNCHANGED 
APPEARANCE OF A MULTI-LEAD AICD DEVICE.
2.UNCHANGED APPEARANCE OF SMALL LEFT-SIDED PLEURAL EFFUSION AND RIGHT 
PLEURAL THICKENING. NO EVIDENCE OF PULMONARY EDEMA.
SUMMARY:2-ABNORMAL, PREVIOUSLY REPORTED
I have personally reviewed the images for this examination and agreed
with the report transcribed above.
ACCESSION NUMBER:
88875697573
This report has been anonymized. All dates are offset from the actual dates by a fixed interval associated with the patient.</x:v>
      </x:c>
      <x:c r="G233" s="28" t="str">
        <x:v>Improved</x:v>
      </x:c>
      <x:c r="H233" s="29" t="str"/>
      <x:c r="I233" s="29" t="str"/>
      <x:c r="J233" s="29" t="str"/>
      <x:c r="K233" s="30"/>
      <x:c r="L233" s="29" t="str"/>
      <x:c r="M233" s="31" t="str">
        <x:f>IF(H233="","待填写标签",IF(AND(H233="Unusable",I233=""),"需填写不可用原因",IF(J233="","需填写审核人",IF(K233="","需填写日期","完成"))))</x:f>
        <x:v>待填写标签</x:v>
      </x:c>
    </x:row>
    <x:row r="234" ht="72" customHeight="1">
      <x:c r="A234" s="25" t="n">
        <x:v>233</x:v>
      </x:c>
      <x:c r="B234" s="26" t="str">
        <x:v>review_0224</x:v>
      </x:c>
      <x:c r="C234" s="26" t="str">
        <x:v>mimic_cxr_jpg</x:v>
      </x:c>
      <x:c r="D234" s="27" t="str">
        <x:v>Cardiomegaly</x:v>
      </x:c>
      <x:c r="E234" s="27" t="str">
        <x:v>FINAL REPORT
 SINGLE FRONTAL VIEW OF THE CHEST
 REASON FOR EXAM:  Assess NG tube and ET tube, the patient with brain injury.
 Comparison is made with prior study performed eight hours earlier.
 NG tube tip is out of view below the diaphragm likely in the stomach.  There
 are no other interval changes.  ET tube is in the standard position.</x:v>
      </x:c>
      <x:c r="F234" s="27" t="str">
        <x:v>FINAL REPORT
 AP CHEST 4:26 A.M., ___  
 HISTORY:  A ___-year-old woman with presumed pneumonia.
 IMPRESSION:  AP chest compared to ___:
 Previous moderately severe pulmonary edema and mild cardiomegaly have cleared.
 Pleural effusions are small if any.  There is no pneumonia.  No pneumothorax.</x:v>
      </x:c>
      <x:c r="G234" s="28" t="str">
        <x:v>Resolved</x:v>
      </x:c>
      <x:c r="H234" s="29" t="str"/>
      <x:c r="I234" s="29" t="str"/>
      <x:c r="J234" s="29" t="str"/>
      <x:c r="K234" s="30"/>
      <x:c r="L234" s="29" t="str"/>
      <x:c r="M234" s="31" t="str">
        <x:f>IF(H234="","待填写标签",IF(AND(H234="Unusable",I234=""),"需填写不可用原因",IF(J234="","需填写审核人",IF(K234="","需填写日期","完成"))))</x:f>
        <x:v>待填写标签</x:v>
      </x:c>
    </x:row>
    <x:row r="235" ht="72" customHeight="1">
      <x:c r="A235" s="25" t="n">
        <x:v>234</x:v>
      </x:c>
      <x:c r="B235" s="26" t="str">
        <x:v>review_0188</x:v>
      </x:c>
      <x:c r="C235" s="26" t="str">
        <x:v>chexpert_plus</x:v>
      </x:c>
      <x:c r="D235" s="27" t="str">
        <x:v>Edema</x:v>
      </x:c>
      <x:c r="E235" s="27" t="str">
        <x:v>NARRATIVE:
RADIOGRAPHIC EXAMINATION OF THE CHEST: 23/01/2003
CLINICAL HISTORY: 81 years of age, Female, S/p left vats wedge 
resection, evaluate chest tube position.
COMPARISON: CT chest 1/23/2003
PROCEDURE COMMENTS: Single view of the chest. 
FINDINGS:
Single view of the chest dated 1-23 hours demonstrates 
suture lines projecting in the left upper and lower lung zones. 
Postsurgical change in the right hilar region. A left chest tube is 
in place with subcutaneous emphysema in the lateral chest wall. 
Possible radiodense pleural line at the right lung apex may represent 
a pneumothorax. An ovoid air-filled cavity is seen in the right apex, 
better delineated on prior CT. No new focal consolidation or pleural 
effusions. No acute bony abnormalities.
Single semiupright view of the chest dated 1/23/2003 00:11  hours 
demonstrates no significant interval change.
Single semiupright view of the chest dated January 23, 03 hours 
demonstrates no significant interval change.
IMPRESSION:
1.  Postsurgical changes of left VATS resection with left chest tube 
and subcutaneous emphysema. No definite left-sided pneumothorax.
2.  Redemonstrated ovoid air-filled cavity at the right apex better 
delineated on prior CT.
3.  Possible radiodense pleural line at the right apex which may 
represent a pneumothorax. For confirmation a left lateral decubitus 
film versus CT can be performed. Findings discussed with Bender Collin, CRNP 
at 2:39 PM.
I have personally reviewed the images for this examination and agreed
with the report transcribed above.
ACCESSION NUMBER:
MlKK
This report has been anonymized. All dates are offset from the actual dates by a fixed interval associated with the patient.</x:v>
      </x:c>
      <x:c r="F235" s="27" t="str">
        <x:v>NARRATIVE:
RADIOGRAPHIC EXAMINATION OF THE CHEST: 3/12/2001 at 2242 
hours. 3/12/2001 at 0354 hours and 0524 hours.
CLINICAL HISTORY: 81 years of age, Female, Airway.
COMPARISON: 03-12 at 0451 hours
PROCEDURE COMMENTS: Single view of the chest. 
FINDINGS:
3/12/2001 at 2242 hours:
Stable appearance of left thoracic drain. Redemonstrated surgical 
staple lines in the left thorax and right hilum. Redemonstration of 
volume loss in the right lung. Small left pneumothorax is seen. Left 
basilar atelectasis and pleural effusion is present.
03/12/2001 at 0354 hours:
Stable left thoracic drain. Increased mild bibasilar opacities, 
suggestive of mild pulmonary edema. Small left pneumothorax again 
noted.
2001-03 at 0524 hours:
Stable left thoracic drain. No other significant interval changes.
IMPRESSION:
1.  Small left pneumothorax with a left chest tube in place.
2.  Stable appearance of left basilar atelectasis and small left 
pleural effusion.
I have personally reviewed the images for this examination and agreed
with the report transcribed above.
ACCESSION NUMBER:
44-70-07-14-6
This report has been anonymized. All dates are offset from the actual dates by a fixed interval associated with the patient.</x:v>
      </x:c>
      <x:c r="G235" s="28" t="str">
        <x:v>New</x:v>
      </x:c>
      <x:c r="H235" s="29" t="str"/>
      <x:c r="I235" s="29" t="str"/>
      <x:c r="J235" s="29" t="str"/>
      <x:c r="K235" s="30"/>
      <x:c r="L235" s="29" t="str"/>
      <x:c r="M235" s="31" t="str">
        <x:f>IF(H235="","待填写标签",IF(AND(H235="Unusable",I235=""),"需填写不可用原因",IF(J235="","需填写审核人",IF(K235="","需填写日期","完成"))))</x:f>
        <x:v>待填写标签</x:v>
      </x:c>
    </x:row>
    <x:row r="236" ht="72" customHeight="1">
      <x:c r="A236" s="25" t="n">
        <x:v>235</x:v>
      </x:c>
      <x:c r="B236" s="26" t="str">
        <x:v>review_0050</x:v>
      </x:c>
      <x:c r="C236" s="26" t="str">
        <x:v>chexpert_plus</x:v>
      </x:c>
      <x:c r="D236" s="27" t="str">
        <x:v>Pneumonia</x:v>
      </x:c>
      <x:c r="E236" s="27" t="str">
        <x:v>NARRATIVE:
Chest 2 Views: 6/26/2013
HISTORY: 78 years Male, Recent Pneumonia.
COMPARISON: 13/26/06
IMPRESSION: 
1. PA AND LATERAL VIEWS OF THE CHEST FROM 6/26/2013 AT 1753 HRS SHOW 
WORSENING AIR SPACE OPACITIES OVER A BACKGROUND OF RETICULAR 
OPACITIES, WITH AREAS OF PATCHY CONFLUENCE MOST PROMINENTLY INVOLVING 
THE LINGULA AND RIGHT MIDDLE LOBE, LIKELY SECONDARY TO MULTIFOCAL 
PNEUMONIA WITH CLINICAL CONCORDANCE. ELEMENT OF SUPERIMPOSED 
PULMONARY EDEMA IS LIKELY.
2. INTERVAL IMPROVEMENT IN RIGHT PLEURAL EFFUSION.
3. STABLE CARDIOMEDIASTINAL SILHOUETTE.
SUMMARY:4-POSSIBLY SIGNIFICANT FINDING, MAY NEED ACTION 
I have personally reviewed the images for this examination and agreed
with the report transcribed above.
ACCESSION NUMBER:
12432300058220
This report has been anonymized. All dates are offset from the actual dates by a fixed interval associated with the patient.</x:v>
      </x:c>
      <x:c r="F236" s="27" t="str">
        <x:v>NARRATIVE:
Exam: Chest 1 View, 08-00
Clinical History: 78-year-old male with sepsis
Comparison: 8/23/2000
IMPRESSION:
1.SEMIUPRIGHT FRONTAL RADIOGRAPH OF THE CHEST DEMONSTRATES LOW LUNG 
VOLUMES
2.PERSISTENT, BUT IMPROVED RIGHT MIDDLE LOBE AND LINGULAR OPACITIES, 
LIKELY REPRESENTING IMPROVING AERATION IN THE SETTING OF RECENT 
MULTIFOCAL PNEUMONIA
3.NO PLEURAL EFFUSION OR PNEUMOTHORAX
4.STABLE CARDIOMEDIASTINUM
SUMMARY:2-ABNORMAL, PREVIOUSLY REPORTED
I have personally reviewed the images for this examination and agreed
with the report transcribed above.
ACCESSION NUMBER:
#BXE-XKW-OOB
This report has been anonymized. All dates are offset from the actual dates by a fixed interval associated with the patient.</x:v>
      </x:c>
      <x:c r="G236" s="28" t="str">
        <x:v>Improved</x:v>
      </x:c>
      <x:c r="H236" s="29" t="str"/>
      <x:c r="I236" s="29" t="str"/>
      <x:c r="J236" s="29" t="str"/>
      <x:c r="K236" s="30"/>
      <x:c r="L236" s="29" t="str"/>
      <x:c r="M236" s="31" t="str">
        <x:f>IF(H236="","待填写标签",IF(AND(H236="Unusable",I236=""),"需填写不可用原因",IF(J236="","需填写审核人",IF(K236="","需填写日期","完成"))))</x:f>
        <x:v>待填写标签</x:v>
      </x:c>
    </x:row>
    <x:row r="237" ht="72" customHeight="1">
      <x:c r="A237" s="25" t="n">
        <x:v>236</x:v>
      </x:c>
      <x:c r="B237" s="26" t="str">
        <x:v>review_0019</x:v>
      </x:c>
      <x:c r="C237" s="26" t="str">
        <x:v>chexpert_plus</x:v>
      </x:c>
      <x:c r="D237" s="27" t="str">
        <x:v>Edema</x:v>
      </x:c>
      <x:c r="E237" s="27" t="str">
        <x:v>NARRATIVE:
ONE VIEW OF THE CHEST: 10-30-10 (1125)
COMPARISON EXAM: 10-30-2010 at 0539.
DIAGNOSIS: Facial fracture, rib fracture.
HISTORY: Rule out pneumonia.
IMPRESSION:
1. REDEMONSTRATION OF TRACHEOSTOMY TUBE, AND FEEDING TUBE IN
STABLE AND SATISFACTORY POSITION, UNCHANGED FROM PREVIOUS EXAM.
REDEMONSTRATION OF LEFT SUBCLAVIAN CENTRAL VENOUS CATHETER WITH TIP
LOCATED IN THE LEFT BRACHIOCEPHALIC VEIN.
2. THERE IS NEW OPACIFICATION OF THE RIGHT LOWER HEMITHORAX,
LIKELY CORRELATING WITH NEW RIGHT-SIDED EFFUSION. THERE IS ALSO A
SMALL LEFT-SIDED PLEURAL EFFUSION.
3. THERE ARE PERSISTENT BIBASILAR OPACITIES, CONSISTENT WITH
ATELECTASIS VERSUS CONSOLIDATION.
4. THERE IS INTERVAL INCREASE IN BILATERAL RETICULAR OPACIFICATION
OF THE LUNG PARENCHYMA, CONSISTENT WITH INCREASED PULMONARY
INTERSTITIAL EDEMA.
END OF IMPRESSION:
SUMMARY: 2 ABNORMAL, PREVIOUSLY REPORTED
I have personally reviewed the images for this examination and agree
with the report transcribed above.
By: Eva Stephens, MD  on: 10-30-2010
ACCESSION NUMBER:
4234144050
This report has been anonymized. All dates are offset from the actual dates by a fixed interval associated with the patient.</x:v>
      </x:c>
      <x:c r="F237" s="27" t="str">
        <x:v>NARRATIVE:
CHEST ONE VIEW PORTABLE: 3-3-13 at 1754 hours
COMPARISON: 3-3-2013 at 0519 hours
DIAGNOSIS: Facial fracture. Rib fracture.
CLINICAL HISTORY: Rule out aspiration.
IMPRESSION:
1. REDEMONSTRATION OF TRACHEOSTOMY, FEEDING TUBE AND LEFT
SUBCLAVIAN CENTRAL VENOUS CATHETER AT C1 AND UNCHANGED POSITION.
2. SLIGHTLY IMPROVED LUNG VOLUMES.
3. PERSISTENT BIBASILAR OPACIFICATIONS, AND PERSISTENT PLEURAL
EFFUSIONS, UNCHANGED FROM THE PREVIOUS EXAMINATION.
4. PULMONARY INTERSTITIAL EDEMA, MINIMALLY IMPROVED FROM THE
PREVIOUS EXAMINATION.
END OF IMPRESSION:
SUMMARY: 2 ABNORMAL, PREVIOUSLY REPORTED
I have personally reviewed the images for this examination and agree
with the report transcribed above.
By: Kline, Emmalyn  on: 3/3/2013
ACCESSION NUMBER:
EFZHCJJIBUDUY
This report has been anonymized. All dates are offset from the actual dates by a fixed interval associated with the patient.</x:v>
      </x:c>
      <x:c r="G237" s="28" t="str">
        <x:v>Improved</x:v>
      </x:c>
      <x:c r="H237" s="29" t="str"/>
      <x:c r="I237" s="29" t="str"/>
      <x:c r="J237" s="29" t="str"/>
      <x:c r="K237" s="30"/>
      <x:c r="L237" s="29" t="str"/>
      <x:c r="M237" s="31" t="str">
        <x:f>IF(H237="","待填写标签",IF(AND(H237="Unusable",I237=""),"需填写不可用原因",IF(J237="","需填写审核人",IF(K237="","需填写日期","完成"))))</x:f>
        <x:v>待填写标签</x:v>
      </x:c>
    </x:row>
    <x:row r="238" ht="72" customHeight="1">
      <x:c r="A238" s="25" t="n">
        <x:v>237</x:v>
      </x:c>
      <x:c r="B238" s="26" t="str">
        <x:v>review_0230</x:v>
      </x:c>
      <x:c r="C238" s="26" t="str">
        <x:v>mimic_cxr_jpg</x:v>
      </x:c>
      <x:c r="D238" s="27" t="str">
        <x:v>Pleural Effusion</x:v>
      </x:c>
      <x:c r="E238" s="27" t="str">
        <x:v>FINAL REPORT
 PA AND LATERAL CHEST, ___
 HISTORY:  Small bilateral pleural effusions, left greater than right.
 IMPRESSION:
 PA and lateral chest compared to ___ and ___:
 Small bilateral pleural effusions are probably residual of mild congestive
 heart failure, and subsequently cleared.  Mild-to-moderate cardiomegaly is
 longstanding, improved since ___.</x:v>
      </x:c>
      <x:c r="F238" s="27" t="str">
        <x:v>FINAL REPORT
 HISTORY:  Dyspnea on exertion.
 COMPARISON:  ___.
 FINDINGS:
 PA and lateral chest radiographs were obtained.  The lungs are well expanded
 and clear.  There is no focal consolidation or pneumothorax.  Previously seen
 effusions have resolved.  Moderate cardiomegaly is unchanged.  Sternotomy
 wires and vascular clips are unchanged.  Calcified pleural plaques are
 present, best seen in the retrosternal region on the lateral film.
 IMPRESSION:
 Cardiomegaly, no acute cardiopulmonary process.</x:v>
      </x:c>
      <x:c r="G238" s="28" t="str">
        <x:v>Resolved</x:v>
      </x:c>
      <x:c r="H238" s="29" t="str"/>
      <x:c r="I238" s="29" t="str"/>
      <x:c r="J238" s="29" t="str"/>
      <x:c r="K238" s="30"/>
      <x:c r="L238" s="29" t="str"/>
      <x:c r="M238" s="31" t="str">
        <x:f>IF(H238="","待填写标签",IF(AND(H238="Unusable",I238=""),"需填写不可用原因",IF(J238="","需填写审核人",IF(K238="","需填写日期","完成"))))</x:f>
        <x:v>待填写标签</x:v>
      </x:c>
    </x:row>
    <x:row r="239" ht="72" customHeight="1">
      <x:c r="A239" s="25" t="n">
        <x:v>238</x:v>
      </x:c>
      <x:c r="B239" s="26" t="str">
        <x:v>review_0102</x:v>
      </x:c>
      <x:c r="C239" s="26" t="str">
        <x:v>mimic_cxr_jpg</x:v>
      </x:c>
      <x:c r="D239" s="27" t="str">
        <x:v>Pleural Effusion</x:v>
      </x:c>
      <x:c r="E239" s="27" t="str">
        <x:v>WET READ: ___ ___ ___ 9:31 PM
  No pneumothorax. Bibasal atelectasis.
 ______________________________________________________________________________
                                 FINAL REPORT
 CHEST RADIOGRAPH
 INDICATION:  Median sternotomy, evaluation for pneumothorax.
 COMPARISON:  ___ at 3:53 p.m.
 FINDINGS:  As compared to the previous radiograph, there is no relevant
 change.  Pre-existing sternal wires and the drain projecting over the sternum
 are in unchanged position.  No evidence of postprocedural pneumothorax. 
 Minimal atelectasis at the left lung base.  Borderline size of the cardiac
 silhouette and noncharacteristic scars at the right lung base.  No pleural
 effusions.  No pulmonary edema.  No pneumonia.</x:v>
      </x:c>
      <x:c r="F239" s="27" t="str">
        <x:v>FINAL REPORT
 CHEST RADIOGRAPH
 INDICATION:  Hemithyroidectomy, evaluation.
 COMPARISON:  ___.
 FINDINGS:  Compared to the previous radiograph, there is no relevant change. 
 Sternotomy wires and the drain are in unchanged position.  Newly appeared
 focal parenchymal opacities, no pleural effusions, no pulmonary edema.</x:v>
      </x:c>
      <x:c r="G239" s="28" t="str">
        <x:v>Stable</x:v>
      </x:c>
      <x:c r="H239" s="29" t="str"/>
      <x:c r="I239" s="29" t="str"/>
      <x:c r="J239" s="29" t="str"/>
      <x:c r="K239" s="30"/>
      <x:c r="L239" s="29" t="str"/>
      <x:c r="M239" s="31" t="str">
        <x:f>IF(H239="","待填写标签",IF(AND(H239="Unusable",I239=""),"需填写不可用原因",IF(J239="","需填写审核人",IF(K239="","需填写日期","完成"))))</x:f>
        <x:v>待填写标签</x:v>
      </x:c>
    </x:row>
    <x:row r="240" ht="72" customHeight="1">
      <x:c r="A240" s="25" t="n">
        <x:v>239</x:v>
      </x:c>
      <x:c r="B240" s="26" t="str">
        <x:v>review_0080</x:v>
      </x:c>
      <x:c r="C240" s="26" t="str">
        <x:v>mimic_cxr_jpg</x:v>
      </x:c>
      <x:c r="D240" s="27" t="str">
        <x:v>Pneumothorax</x:v>
      </x:c>
      <x:c r="E240" s="27" t="str">
        <x:v>FINAL REPORT
 TYPE OF EXAMINATION:  Chest AP portable single view.
 INDICATION:  ___-year-old male patient with removal of chest tube, evaluate for
 pneumothorax or effusion.
 FINDINGS:  AP single view of the chest has been obtained with patient in
 sitting semi-upright position.  Analysis is performed in direct comparison
 with the next preceding similar study of ___.  There is status
 post sternotomy as before.  Significant increase of heart size is observed,
 but there is no evidence of increased pulmonary vascular congestion.  Since
 the next preceding study of ___, a left-sided chest tube advanced from
 below has been removed.  The lungs remain well aerated and no pneumothorax can
 be identified in the apical area of the left-sided hemithorax.  Mild degree of
 blunting of the left lateral pleural sinus is noted.
 IMPRESSION:  Postoperative increase of heart size to moderate degree, no
 evidence of pulmonary vascular congestion and no pneumothorax following
 left-sided chest tube removal.  Referring physician, ___, ___
 #___, was paged at 1:15 p.m., but not available.</x:v>
      </x:c>
      <x:c r="F240" s="27" t="str">
        <x:v>FINAL REPORT
 HISTORY:  Status post cardiac surgery. Assess for pneumothorax.
 COMPARISON:  Chest radiograph: ___, ___ and
 ___.
 TECHNIQUE:  Single frontal portable chest radiograph.
 FINDINGS:  New small left apical pneumothorax without mediastinal shift.  Mild
 increase in left lower lobe plate-like atelectasis.  Cardiomediastinal
 silhouette is mildly enlarged and is normal for postop findings. Stable small
 left pleural effusion without pulmonary edema. Right lung is clear and
 sternotomy wires are in correct position.
 I
 MPRESSION:  New small left apical pneumothorax.
 Results were conveyed via telephone by Dr. ___ to primary team on
 ___ within 10 minutes of results.</x:v>
      </x:c>
      <x:c r="G240" s="28" t="str">
        <x:v>New</x:v>
      </x:c>
      <x:c r="H240" s="29" t="str"/>
      <x:c r="I240" s="29" t="str"/>
      <x:c r="J240" s="29" t="str"/>
      <x:c r="K240" s="30"/>
      <x:c r="L240" s="29" t="str"/>
      <x:c r="M240" s="31" t="str">
        <x:f>IF(H240="","待填写标签",IF(AND(H240="Unusable",I240=""),"需填写不可用原因",IF(J240="","需填写审核人",IF(K240="","需填写日期","完成"))))</x:f>
        <x:v>待填写标签</x:v>
      </x:c>
    </x:row>
    <x:row r="241" ht="72" customHeight="1">
      <x:c r="A241" s="25" t="n">
        <x:v>240</x:v>
      </x:c>
      <x:c r="B241" s="26" t="str">
        <x:v>review_0097</x:v>
      </x:c>
      <x:c r="C241" s="26" t="str">
        <x:v>mimic_cxr_jpg</x:v>
      </x:c>
      <x:c r="D241" s="27" t="str">
        <x:v>Atelectasis</x:v>
      </x:c>
      <x:c r="E241" s="27" t="str">
        <x:v>FINAL REPORT
 PORTABLE CHEST FILM ___ AT 4:40 A.M.
 CLINICAL INDICATION:  ___-year-old with TBI, intubated, rule out pneumonia.
 Comparison is made to the patient's prior study of ___ at 5:04 a.m.
 A semisupine chest film ___ at 4:40 a.m. is submitted.
 IMPRESSION:
 1.  Right subclavian PICC line, feeding tube and endotracheal tube appear
 unchanged in position.  Lung volumes are slightly lower on the current
 examination.  Persistent heterogeneous opacity at the right lung base has
 likely not significantly changed, but may reflect an area of aspiration or
 early infection.  Followup imaging may be helpful.  There is persistent
 retrocardiac opacity as well, which could reflect an area of atelectasis or
 additional site of aspiration/pneumonia.  No pleural effusions.  No
 pneumothorax.</x:v>
      </x:c>
      <x:c r="F241" s="27" t="str">
        <x:v>FINAL REPORT
 CHEST RADIOGRAPH
 INDICATION:  Rule out pneumonia.
 COMPARISON:  ___.
 FINDINGS:  As compared to the previous radiograph, there is no relevant
 change.  The monitoring and support devices are constant.  Constant size of
 the cardiac silhouette.  Constant areas of bilateral right and retrocardiac
 atelectasis that have not progressed since the previous examination.  No
 pulmonary edema.  No pleural effusions.  No pneumothorax.</x:v>
      </x:c>
      <x:c r="G241" s="28" t="str">
        <x:v>Stable</x:v>
      </x:c>
      <x:c r="H241" s="29" t="str"/>
      <x:c r="I241" s="29" t="str"/>
      <x:c r="J241" s="29" t="str"/>
      <x:c r="K241" s="30"/>
      <x:c r="L241" s="29" t="str"/>
      <x:c r="M241" s="31" t="str">
        <x:f>IF(H241="","待填写标签",IF(AND(H241="Unusable",I241=""),"需填写不可用原因",IF(J241="","需填写审核人",IF(K241="","需填写日期","完成"))))</x:f>
        <x:v>待填写标签</x:v>
      </x:c>
    </x:row>
    <x:row r="242" ht="72" customHeight="1">
      <x:c r="A242" s="25" t="n">
        <x:v>241</x:v>
      </x:c>
      <x:c r="B242" s="26" t="str">
        <x:v>review_0038</x:v>
      </x:c>
      <x:c r="C242" s="26" t="str">
        <x:v>mimic_cxr_jpg</x:v>
      </x:c>
      <x:c r="D242" s="27" t="str">
        <x:v>Edema</x:v>
      </x:c>
      <x:c r="E242" s="27" t="str">
        <x:v>FINAL REPORT
 EXAMINATION:  CHEST (PORTABLE AP)
 INDICATION:  ___ year old man with shock and s/p intubation  // Eval for
 interval change      Eval for interval change
 IMPRESSION: 
 In comparison with the study of ___, scatter radiation related to the
 size of the patient again greatly obscures detail.  The endotracheal and
 nasogastric tubes remain satisfactorily position.  Low lung volumes
 accentuates the substantial cardiomegaly with continued pulmonary vascular
 congestion.  Obscuration of the left hemidiaphragm is consistent with
 substantial volume loss in the left lower lobe, and there are probably small
 bilateral pleural effusions.</x:v>
      </x:c>
      <x:c r="F242" s="27" t="str">
        <x:v>FINAL REPORT
 EXAMINATION:  CHEST (PORTABLE AP)
 INDICATION:  ___ year old man adm hypotension, bleed, intubated, now HD stable
 but volume overloaded getting diuresed  // eval for interval change     eval
 for interval change
 IMPRESSION: 
 Compared to chest radiographs ___ through ___.
 Previous mild pulmonary edema has improved, with residuals edema only at the
 lung bases alongside persistent moderate right and severe left lower lobe
 atelectasis.  Small left pleural effusion is new or newly apparent.  Cardiac
 silhouette is partially obscured by high diaphragm, probably unchanged and
 mildly enlarged.
 Mediastinal venous engorgement is considerable suggesting elevation of central
 venous pressure or volume.</x:v>
      </x:c>
      <x:c r="G242" s="28" t="str">
        <x:v>Improved</x:v>
      </x:c>
      <x:c r="H242" s="29" t="str"/>
      <x:c r="I242" s="29" t="str"/>
      <x:c r="J242" s="29" t="str"/>
      <x:c r="K242" s="30"/>
      <x:c r="L242" s="29" t="str"/>
      <x:c r="M242" s="31" t="str">
        <x:f>IF(H242="","待填写标签",IF(AND(H242="Unusable",I242=""),"需填写不可用原因",IF(J242="","需填写审核人",IF(K242="","需填写日期","完成"))))</x:f>
        <x:v>待填写标签</x:v>
      </x:c>
    </x:row>
    <x:row r="243" ht="72" customHeight="1">
      <x:c r="A243" s="25" t="n">
        <x:v>242</x:v>
      </x:c>
      <x:c r="B243" s="26" t="str">
        <x:v>review_0148</x:v>
      </x:c>
      <x:c r="C243" s="26" t="str">
        <x:v>chexpert_plus</x:v>
      </x:c>
      <x:c r="D243" s="27" t="str">
        <x:v>Lung Opacity</x:v>
      </x:c>
      <x:c r="E243" s="27" t="str">
        <x:v>NARRATIVE:
EXAM: 12/26/05 
COMPARISON: December 26 2005
HISTORY: 66 years Male with New hypoxia, tachypnea
IMPRESSION:
1.UPRIGHT CHEST X-RAY DEMONSTRATES MILD PULMONARY EDEMA.  NO NEW 
FOCAL OPACITY.  CARDIOMEDIASTINAL SILHOUETTE UNCHANGED.
SUMMARY:2-ABNORMAL, PREVIOUSLY REPORTED
I have personally reviewed the images for this examination and agreed
with the report transcribed above.
ACCESSION NUMBER:
39695272881315
This report has been anonymized. All dates are offset from the actual dates by a fixed interval associated with the patient.</x:v>
      </x:c>
      <x:c r="F243" s="27" t="str">
        <x:v>NARRATIVE:
EXAM: 3/6/2006 1730
COMPARISON: 3-6-2006 0441
HISTORY: 66 years Male with Critical  care follow-up(ICU)
IMPRESSION:
1.SEMIUPRIGHT CHEST X-RAY 3/6/2006 DEMONSTRATES INTERVAL PLACEMENT 
OF RIGHT SWAN-GANZ CATHETER WITH TIP IN THE RIGHT MAIN PULMONARY 
ARTERY.  OTHERWISE, STABLE SUPPORT EQUIPMENT.  STABLE MILD PULMONARY 
EDEMA, BIBASILAR OPACITIES AND BILATERAL EFFUSIONS.
2.SUPINE CHEST X-RAY 3/6/2006 DEMONSTRATES INTERVAL ADVANCEMENT OF 
RIGHT SWAN-GANZ CATHETER WITH TIP NOW MORE DISTALLY IN THE RIGHT MAIN 
PULMONARY ARTERY.  OTHERWISE, STABLE SUPPORT EQUIPMENT.  NO 
SIGNIFICANT INTERVAL CHANGE.
SUMMARY:4-POSSIBLY SIGNIFICANT FINDING, MAY NEED ACTION
I have personally reviewed the images for this examination and agreed
with the report transcribed above.
ACCESSION NUMBER:
26615188198
This report has been anonymized. All dates are offset from the actual dates by a fixed interval associated with the patient.</x:v>
      </x:c>
      <x:c r="G243" s="28" t="str">
        <x:v>New</x:v>
      </x:c>
      <x:c r="H243" s="29" t="str"/>
      <x:c r="I243" s="29" t="str"/>
      <x:c r="J243" s="29" t="str"/>
      <x:c r="K243" s="30"/>
      <x:c r="L243" s="29" t="str"/>
      <x:c r="M243" s="31" t="str">
        <x:f>IF(H243="","待填写标签",IF(AND(H243="Unusable",I243=""),"需填写不可用原因",IF(J243="","需填写审核人",IF(K243="","需填写日期","完成"))))</x:f>
        <x:v>待填写标签</x:v>
      </x:c>
    </x:row>
    <x:row r="244" ht="72" customHeight="1">
      <x:c r="A244" s="25" t="n">
        <x:v>243</x:v>
      </x:c>
      <x:c r="B244" s="26" t="str">
        <x:v>review_0146</x:v>
      </x:c>
      <x:c r="C244" s="26" t="str">
        <x:v>mimic_cxr_jpg</x:v>
      </x:c>
      <x:c r="D244" s="27" t="str">
        <x:v>Pneumonia</x:v>
      </x:c>
      <x:c r="E244" s="27" t="str">
        <x:v>WET READ: ___ ___ ___ 9:44 AM
  Right lower lobe pneumonia persists, as expected. Recommend follow-up to
  resolution with a repeat radiograph in ___ weeks.
 ______________________________________________________________________________
                                 FINAL REPORT
 EXAMINATION:  CHEST (PA AND LAT)
 INDICATION:  History: ___M with persistent cough after previous pneumonia  //
 rule out progression of pneumonia
 TECHNIQUE:  Chest PA and lateral
 COMPARISON:  Chest radiograph ___
 FINDINGS: 
 Right lower lobe opacity persists, although may be minimally less dense
 compared to the prior study.  Please note that radiographic resolution is not
 yet expected as the prior radiograph was performed only 9 days earlier. No new
 consolidation.  There is no pulmonary edema, pleural effusion or pneumothorax.
 Cardiomediastinal contours are normal.  No acute osseous abnormalities.
 IMPRESSION: 
 Right lower lobe pneumonia persists, as expected.  Recommend follow-up to
 resolution with a repeat radiograph in ___ weeks.
 RECOMMENDATION(S):  Chest radiograph in ___ weeks.</x:v>
      </x:c>
      <x:c r="F244" s="27" t="str">
        <x:v>FINAL REPORT
 EXAMINATION:  CHEST (PA AND LAT)
 INDICATION:  ___ year old man with treated pneumonia, assess for clearing  //
 follow up RLL pneumonia
 TECHNIQUE:  PA and lateral views of the chest provided.
 COMPARISON:  Chest radiographs dated ___.
 FINDINGS: 
 Compared to chest radiographs from ___,
 Right lower lobe pneumonia has resolved.  No new focal consolidation.  There
 is no pleural effusion, but there is a new, small rounded region of pleural or
 extrapleural thickening projecting over the anterolateral aspect of the right
 sixth rib where there appears to be at least one nondisplaced fracture. 
 Clinical correlation advised.
 Cardiomediastinal and hilar silhouettes are normal.
 IMPRESSION: 
 Resolved right lower lobe pneumonia.
 Possible new right sixth rib fracture.</x:v>
      </x:c>
      <x:c r="G244" s="28" t="str">
        <x:v>Resolved</x:v>
      </x:c>
      <x:c r="H244" s="29" t="str"/>
      <x:c r="I244" s="29" t="str"/>
      <x:c r="J244" s="29" t="str"/>
      <x:c r="K244" s="30"/>
      <x:c r="L244" s="29" t="str"/>
      <x:c r="M244" s="31" t="str">
        <x:f>IF(H244="","待填写标签",IF(AND(H244="Unusable",I244=""),"需填写不可用原因",IF(J244="","需填写审核人",IF(K244="","需填写日期","完成"))))</x:f>
        <x:v>待填写标签</x:v>
      </x:c>
    </x:row>
    <x:row r="245" ht="72" customHeight="1">
      <x:c r="A245" s="25" t="n">
        <x:v>244</x:v>
      </x:c>
      <x:c r="B245" s="26" t="str">
        <x:v>review_0000</x:v>
      </x:c>
      <x:c r="C245" s="26" t="str">
        <x:v>mimic_cxr_jpg</x:v>
      </x:c>
      <x:c r="D245" s="27" t="str">
        <x:v>Pleural Effusion</x:v>
      </x:c>
      <x:c r="E245" s="27" t="str">
        <x:v>FINAL REPORT
 INDICATION:  ___-year-old female intubated status post transfer.  Evaluate for
 tube placement.
 TECHNIQUE:  Portable AP frontal chest radiograph was obtained.
 COMPARISON:  None available.
 FINDINGS: 
 Lung volumes are low causing crowding of the central bronchovascular
 structures.  The heart is normal in size given the low lung volumes.  There is
 a right internal jugular central venous line which terminates in the proximal
 right atrium.  An enteric tube terminates below the view of this radiograph. 
 There is an endotracheal tube which terminates approximately 1.9 cm above the
 level the carina.  Gaseous distention of bowel loops is noted in the upper
 abdomen.
 IMPRESSION: 
 1.  Low lung volumes.  The endotracheal tube terminates approximately 1.9 cm
 above the level the carina, and pullback by 1 cm is recommended.
 2.  Gaseous distention of stomach and bowel loops in the upper abdomen.</x:v>
      </x:c>
      <x:c r="F245" s="27" t="str">
        <x:v>FINAL REPORT
 EXAMINATION:  CHEST (PORTABLE AP)
 INDICATION:  ___ year old woman with septic shock  // interval change
 IMPRESSION: 
 In comparison to ___ radiograph, a nasogastric tube is been
 placed, terminating in the region of the proximal duodenum, with resolution of
 gastric distension.  Within the chest, note is made of substantial worsening
 of left retrocardiac atelectasis and apparent development of a new small left
 pleural effusion.</x:v>
      </x:c>
      <x:c r="G245" s="28" t="str">
        <x:v>New</x:v>
      </x:c>
      <x:c r="H245" s="29" t="str"/>
      <x:c r="I245" s="29" t="str"/>
      <x:c r="J245" s="29" t="str"/>
      <x:c r="K245" s="30"/>
      <x:c r="L245" s="29" t="str"/>
      <x:c r="M245" s="31" t="str">
        <x:f>IF(H245="","待填写标签",IF(AND(H245="Unusable",I245=""),"需填写不可用原因",IF(J245="","需填写审核人",IF(K245="","需填写日期","完成"))))</x:f>
        <x:v>待填写标签</x:v>
      </x:c>
    </x:row>
    <x:row r="246" ht="72" customHeight="1">
      <x:c r="A246" s="25" t="n">
        <x:v>245</x:v>
      </x:c>
      <x:c r="B246" s="26" t="str">
        <x:v>review_0077</x:v>
      </x:c>
      <x:c r="C246" s="26" t="str">
        <x:v>chexpert_plus</x:v>
      </x:c>
      <x:c r="D246" s="27" t="str">
        <x:v>Pleural Effusion</x:v>
      </x:c>
      <x:c r="E246" s="27" t="str">
        <x:v>NARRATIVE:
SINGLE VIEW OF THE CHEST: 9-3-15.
 CLINICAL HISTORY: A 72-year-old man, evaluate effusions. 
 COMPARISON: Chest X-ray on 9-3-15.
 IMPRESSION: 
 1. DECREASED PULMONARY EDEMA. NO PLEURAL EFFUSIONS. NO PNEUMOTHORAX. 
STABLE BIBASILAR ATELECTASIS. 
 2. STABLE POSITION OF RIGHT INTERNAL JUGULAR DIALYSIS CATHETER, LEFT 
INTERNAL JUGULAR LINE, LEFT PICC, PIGTAIL CATHETER IN THE RIGHT UPPER 
QUADRANT OF THE ABDOMEN. 
 SUMMARY:2-ABNORMAL, PREVIOUSLY REPORTED   
I have personally reviewed the images for this examination and agreed
with the report transcribed above.
ACCESSION NUMBER:
EJSAZXJYXNCLJ
This report has been anonymized. All dates are offset from the actual dates by a fixed interval associated with the patient.</x:v>
      </x:c>
      <x:c r="F246" s="27" t="str">
        <x:v>NARRATIVE:
SINGLE PORTABLE CHEST:  7-27-2021 AT 1708 HOURS.
COMPARISON:  7-27-2021 at 0625 hours.
CLINICAL HISTORY:  Line placement.
IMPRESSION: 
1.  STABLE LEFT INTERNAL JUGULAR CENTRAL VENOUS CATHETER WITH TIP AT 
THE BRACHIOCEPHALIC VEIN.  TUNNELED RIGHT INTERNAL JUGULAR CENTRAL 
VENOUS CATHETER WITH TIP IN THE SUPERIOR VENA CAVA.  NEW RIGHT 
INTERNAL JUGULAR CENTRAL VENOUS CATHETER WITH TIP IN THE SUPERIOR 
VENA CAVA.
2.  LUNG VOLUMES REMAIN LOW.  PATCHY OPACITIES IN THE LOWER LUNG 
ZONES BILATERALLY ARE STABLE, LIKELY ATELECTASIS VERSUS ASPIRATION OR 
PNEUMONIA.  SMALL BILATERAL PLEURAL EFFUSIONS, LEFT GREATER THAN 
RIGHT, ARE STABLE.
3.  NUMEROUS BILATERAL RIB FRACTURES ARE UNCHANGED.
4.  PARTIAL VISUALIZATION OF RIGHT UPPER QUADRANT PIGTAIL DRAINAGE 
CATHETERS.
SUMMARY:2-ABNORMAL, PREVIOUSLY REPORTED
ACCESSION NUMBER:
3102871827
This report has been anonymized. All dates are offset from the actual dates by a fixed interval associated with the patient.</x:v>
      </x:c>
      <x:c r="G246" s="28" t="str">
        <x:v>New</x:v>
      </x:c>
      <x:c r="H246" s="29" t="str"/>
      <x:c r="I246" s="29" t="str"/>
      <x:c r="J246" s="29" t="str"/>
      <x:c r="K246" s="30"/>
      <x:c r="L246" s="29" t="str"/>
      <x:c r="M246" s="31" t="str">
        <x:f>IF(H246="","待填写标签",IF(AND(H246="Unusable",I246=""),"需填写不可用原因",IF(J246="","需填写审核人",IF(K246="","需填写日期","完成"))))</x:f>
        <x:v>待填写标签</x:v>
      </x:c>
    </x:row>
    <x:row r="247" ht="72" customHeight="1">
      <x:c r="A247" s="25" t="n">
        <x:v>246</x:v>
      </x:c>
      <x:c r="B247" s="26" t="str">
        <x:v>review_0137</x:v>
      </x:c>
      <x:c r="C247" s="26" t="str">
        <x:v>chexpert_plus</x:v>
      </x:c>
      <x:c r="D247" s="27" t="str">
        <x:v>Pleural Effusion</x:v>
      </x:c>
      <x:c r="E247" s="27" t="str">
        <x:v>NARRATIVE:
RADIOGRAPHIC EXAMINATION OF THE CHEST: 10-9-06
CLINICAL HISTORY: 87 years of age, Male, Intubation.
COMPARISON: 10-9-2006
PROCEDURE COMMENTS: Single view of the chest. 
FINDINGS:
Unchanged appearance of the spinal hardware at the lower 
cervical/upper thoracic spine, with skin staples. The endotracheal 
tube continues to be high in position within the upper thoracic 
trachea, 10-9-2006 cm above the carina. Interval placement of a feeding 
tube with the tip coursing through the stomach, with the tip not 
visualized.
Similar borderline cardiomegaly. Similar left hilar and bilateral 
lower lung zone patchy opacities. No large pneumothorax. Similar 
trace right and small left pleural effusions. No visualized acute 
osseous abnormality.
IMPRESSION:
1.  The endotracheal tube continues to be high in position, within 
the upper thoracic trachea, 8.1 cm above the carina, for which 
advancement by 4 cm can be considered.
2.  Otherwise, no significant interval change.
"Physician to Physician Radiology Consult Line: (611) 266-6446"
I have personally reviewed the images for this examination and agreed
with the report transcribed above.
ACCESSION NUMBER:
45462639
This report has been anonymized. All dates are offset from the actual dates by a fixed interval associated with the patient.</x:v>
      </x:c>
      <x:c r="F247" s="27" t="str">
        <x:v>NARRATIVE:
RADIOGRAPHIC EXAMINATION OF THE CHEST: 7-6-2010
CLINICAL HISTORY: 87 years of age, Male, Assess lungs.
COMPARISON: 7/6/10
PROCEDURE COMMENTS: Single view of the chest. 
FINDINGS:
Left PICC line is slightly retracted, with tip now in the azygous vein
Bilateral perihilar and bibasilar opacities are unchanged. Mild 
pulmonary edema and moderate pleural effusions are unchanged.  
Extensive cervical and upper thoracic spinal fusion hardware 
redemonstrated
IMPRESSION:
1.  Left PICC line has migrated, now tip in the azygous vein. 
2.  Persistent mild pulmonary edema and moderate pleural effusions. 
Bibasilar opacities may represent compressive atelectasis, as versus 
consolidations
"Physician to Physician Radiology Consult Line: 780 174-2878"
I have personally reviewed the images for this examination and agreed
with the report transcribed above.
ACCESSION NUMBER:
TBLODPPUEDFD
This report has been anonymized. All dates are offset from the actual dates by a fixed interval associated with the patient.</x:v>
      </x:c>
      <x:c r="G247" s="28" t="str">
        <x:v>Worse</x:v>
      </x:c>
      <x:c r="H247" s="29" t="str"/>
      <x:c r="I247" s="29" t="str"/>
      <x:c r="J247" s="29" t="str"/>
      <x:c r="K247" s="30"/>
      <x:c r="L247" s="29" t="str"/>
      <x:c r="M247" s="31" t="str">
        <x:f>IF(H247="","待填写标签",IF(AND(H247="Unusable",I247=""),"需填写不可用原因",IF(J247="","需填写审核人",IF(K247="","需填写日期","完成"))))</x:f>
        <x:v>待填写标签</x:v>
      </x:c>
    </x:row>
    <x:row r="248" ht="72" customHeight="1">
      <x:c r="A248" s="25" t="n">
        <x:v>247</x:v>
      </x:c>
      <x:c r="B248" s="26" t="str">
        <x:v>review_0204</x:v>
      </x:c>
      <x:c r="C248" s="26" t="str">
        <x:v>mimic_cxr_jpg</x:v>
      </x:c>
      <x:c r="D248" s="27" t="str">
        <x:v>Pneumothorax</x:v>
      </x:c>
      <x:c r="E248" s="27" t="str">
        <x:v>FINAL REPORT
 CHEST RADIOGRAPH
 INDICATION:  Left pneumothorax.
 COMPARISON:  ___, 8:42 a.m.
 FINDINGS:  As compared to the previous radiograph, the left apical
 pneumothorax has minimally decreased in extent, but is still visible.  No
 evidence of tension.  Unchanged extent of the pleural effusions bilaterally. 
 Unchanged atelectasis at both lung bases and unchanged size of the cardiac
 silhouette.</x:v>
      </x:c>
      <x:c r="F248" s="27" t="str">
        <x:v>FINAL REPORT
 INDICATION:  Chest tube.  Please evaluate left pneumothorax.
 COMPARISON:  Comparison is made to chest radiograph performed ___.
 FINDINGS:  The previously noted small left pneumothorax is almost completely
 resolved with only a tiny residual pneumothorax evident.  Stable bilateral
 large pleural effusions identified with unchanged bibasilar atelectasis. 
 Minimally improved aeration noted in the right upper lung.  Given effusions
 unable to assess heart size.  Mediastinal and hilar contours are unremarkable.
 Dense calcifications are noted within the thoracic aorta.
 IMPRESSION:  Interval near complete resolution of left pneumothorax.</x:v>
      </x:c>
      <x:c r="G248" s="28" t="str">
        <x:v>Improved</x:v>
      </x:c>
      <x:c r="H248" s="29" t="str"/>
      <x:c r="I248" s="29" t="str"/>
      <x:c r="J248" s="29" t="str"/>
      <x:c r="K248" s="30"/>
      <x:c r="L248" s="29" t="str"/>
      <x:c r="M248" s="31" t="str">
        <x:f>IF(H248="","待填写标签",IF(AND(H248="Unusable",I248=""),"需填写不可用原因",IF(J248="","需填写审核人",IF(K248="","需填写日期","完成"))))</x:f>
        <x:v>待填写标签</x:v>
      </x:c>
    </x:row>
    <x:row r="249" ht="72" customHeight="1">
      <x:c r="A249" s="25" t="n">
        <x:v>248</x:v>
      </x:c>
      <x:c r="B249" s="26" t="str">
        <x:v>review_0070</x:v>
      </x:c>
      <x:c r="C249" s="26" t="str">
        <x:v>chexpert_plus</x:v>
      </x:c>
      <x:c r="D249" s="27" t="str">
        <x:v>Pleural Effusion</x:v>
      </x:c>
      <x:c r="E249" s="27" t="str">
        <x:v>NARRATIVE:
EXAM: Chest 1 View, 3/6/2012
CLINICAL HISTORY:  23 years old Male Check line placement 
COMPARISON: 3-6
TECHNIQUE: Single frontal view of chest on 3/6/2012
IMPRESSION:
1.INTERVAL REMOVAL OF RIGHT INTERNAL JUGULAR SHEATH.  RIGHT INTERNAL 
JUGULAR LINE IS SEEN, WITH TIP OVERLYING THE CAVOATRIAL JUNCTION.
2.STABLE TINY RIGHT APICAL PNEUMOTHORAX, WHICH WAS PRESENT BEFORE 
MANIPULATION OF THE RIGHT INTERNAL JUGULAR LINE.  NO PNEUMOTHORAX ON 
THE LEFT.
3.STABLE CONFLUENT AIRSPACE OPACITY IN THE RETROCARDIAC REGION AND 
SMALL BILATERAL PLEURAL EFFUSIONS.
4.STABLE POSITION OF OTHER HARDWARE, INCLUDING MEDIASTINAL DRAIN, 
BILATERAL CHEST TUBES, AND AORTIC VALVES.
SUMMARY:4-POSSIBLY SIGNIFICANT FINDING, MAY NEED ACTION
I have personally reviewed the images for this examination and agreed
with the report transcribed above.
ACCESSION NUMBER:
50-26-03-30-09-5
This report has been anonymized. All dates are offset from the actual dates by a fixed interval associated with the patient.</x:v>
      </x:c>
      <x:c r="F249" s="27" t="str">
        <x:v>NARRATIVE:
EXAM: Chest 1 View, 23rd august
CLINICAL HISTORY:  23 years old Male Every morning while intubated 
COMPARISON: 2012/8/23
TECHNIQUE: Single frontal view of chest on 8/23/2012
IMPRESSION:
1.TINY RIGHT APICAL PNEUMOTHORAX.  NO MEDIASTINAL SHIFT.
2.  INTERVAL DECREASE IN SIZE OF SMALL RIGHT PLEURAL EFFUSION.  
STABLE SMALL LEFT PLEURAL EFFUSION.  STABLE MILD PULMONARY EDEMA.
3.STABLE CONFLUENT RETROCARDIAC AIRSPACE OPACITY, WHICH COULD 
REPRESENT COMPRESSIVE ATELECTASIS OR CONSOLIDATION.
4.STABLE POSITION OF SUPPORT HARDWARE, INCLUDING RIGHT INTERNAL 
JUGULAR LINE, MEDIASTINAL DRAINS, BILATERAL CHEST TUBES, AND 
PROSTHETIC AORTIC VALVE.
5.STABLE GASEOUS DISTENTION OF THE STOMACH.
SUMMARY:4-POSSIBLY SIGNIFICANT FINDING, MAY NEED ACTION
I have personally reviewed the images for this examination and agreed
with the report transcribed above.
ACCESSION NUMBER:
0827435
This report has been anonymized. All dates are offset from the actual dates by a fixed interval associated with the patient.</x:v>
      </x:c>
      <x:c r="G249" s="28" t="str">
        <x:v>Improved</x:v>
      </x:c>
      <x:c r="H249" s="29" t="str"/>
      <x:c r="I249" s="29" t="str"/>
      <x:c r="J249" s="29" t="str"/>
      <x:c r="K249" s="30"/>
      <x:c r="L249" s="29" t="str"/>
      <x:c r="M249" s="31" t="str">
        <x:f>IF(H249="","待填写标签",IF(AND(H249="Unusable",I249=""),"需填写不可用原因",IF(J249="","需填写审核人",IF(K249="","需填写日期","完成"))))</x:f>
        <x:v>待填写标签</x:v>
      </x:c>
    </x:row>
    <x:row r="250" ht="72" customHeight="1">
      <x:c r="A250" s="25" t="n">
        <x:v>249</x:v>
      </x:c>
      <x:c r="B250" s="26" t="str">
        <x:v>review_0006</x:v>
      </x:c>
      <x:c r="C250" s="26" t="str">
        <x:v>chexpert_plus</x:v>
      </x:c>
      <x:c r="D250" s="27" t="str">
        <x:v>Enlarged Cardiomediastinum</x:v>
      </x:c>
      <x:c r="E250" s="27" t="str">
        <x:v>NARRATIVE:
PORTABLE CHEST, ONE VIEW: 5/2/2000 0405 HOURS
COMPARISON: 5-2-2000.
CLINICAL HISTORY: Pre-op heart transplant. Evaluate for
infiltrates.
IMPRESSION:
1. COMPARED TO PRIOR EXAM, THE RIGHT IJ LINE HAS BEEN REMOVED.
THE RIGHT UPPER EXTREMITY PICC LINE REMAINS IN PLACE WITH ITS TIP
AT THE MID SVC. NO EVIDENCE OF PNEUMOTHORAX.
2. NO CHANGE IN THE CARDIOPULMONARY STATUS WITH PERSISTENT
CARDIOMEGALY AND LEFT LOWER LOBE ATELECTASIS.
END OF IMPRESSION:
SUMMARY: 4 POSSIBLE SIGNIFICANT FINDINGS, MAY NEED ACTION
I have personally reviewed the images for this examination and agree
with the report transcribed above.
By: Vojacek, Lorenzo.  on: 5/2/00
 __________________________________
ACCESSION NUMBER:
42-23-96-39
This report has been anonymized. All dates are offset from the actual dates by a fixed interval associated with the patient.</x:v>
      </x:c>
      <x:c r="F250" s="27" t="str">
        <x:v>NARRATIVE:
CHEST, ONE VIEW: 10-4-2009 at 1627 hours
COMPARISON: Chest x-ray performed 10-4-2009 at 1357 hours
IMPRESSION:
1. INTERVAL REMOVAL OF THE LEFT CHEST TUBE. NO EVIDENCE FOR
PNEUMOTHORAX.
2. NO SIGNIFICANT CHANGE IN CARDIOPULMONARY STATUS WITH
PERSISTENT LEFT RETROCARDIAC OPACITY AND PATCHY OPACITY WITHIN THE
LEFT MIDLUNG. STABLE CARDIOMEDIASTINAL SILHOUETTE.
3. REDEMONSTRATION OF MULTIPLE RIGHT-SIDED RIB FRACTURES.
END OF IMPRESSION:
SUMMARY: 4 POSSIBLE SIGNIFICANT FINDINGS, MAY NEED ACTION
I have personally reviewed the images for this examination and agree
with the report transcribed above.
By: Ismael Brantley Mack, MD  on: 10/4/2009
ACCESSION NUMBER:
TBAIFAGIKW
This report has been anonymized. All dates are offset from the actual dates by a fixed interval associated with the patient.</x:v>
      </x:c>
      <x:c r="G250" s="28" t="str">
        <x:v>Stable</x:v>
      </x:c>
      <x:c r="H250" s="29" t="str"/>
      <x:c r="I250" s="29" t="str"/>
      <x:c r="J250" s="29" t="str"/>
      <x:c r="K250" s="30"/>
      <x:c r="L250" s="29" t="str"/>
      <x:c r="M250" s="31" t="str">
        <x:f>IF(H250="","待填写标签",IF(AND(H250="Unusable",I250=""),"需填写不可用原因",IF(J250="","需填写审核人",IF(K250="","需填写日期","完成"))))</x:f>
        <x:v>待填写标签</x:v>
      </x:c>
    </x:row>
    <x:row r="251" ht="72" customHeight="1">
      <x:c r="A251" s="32" t="n">
        <x:v>250</x:v>
      </x:c>
      <x:c r="B251" s="33" t="str">
        <x:v>review_0174</x:v>
      </x:c>
      <x:c r="C251" s="33" t="str">
        <x:v>mimic_cxr_jpg</x:v>
      </x:c>
      <x:c r="D251" s="34" t="str">
        <x:v>Atelectasis</x:v>
      </x:c>
      <x:c r="E251" s="34" t="str">
        <x:v>FINAL REPORT
 EXAMINATION:  CHEST (PORTABLE AP)
 INDICATION:  ___ year old woman with cardiac arrest ___ hypovolemic shock w/
 SROC; re-intubated for deteroriating mental status  // Eval ETT
 IMPRESSION: 
 Interval Re intubation with tip of endotracheal tube in standard position. 
 Cardiomediastinal contours is stable in appearance and accompanied by mild
 pulmonary vascular congestion.  Exam is otherwise remarkable for improving
 left basilar atelectasis.</x:v>
      </x:c>
      <x:c r="F251" s="34" t="str">
        <x:v>FINAL REPORT
 INDICATION:  ___ year old woman postop  // eval PNA
 TECHNIQUE:  Portable
 COMPARISON:  ___
 FINDINGS: 
 Support devices remain in standard position.  Improved aeration of the left
 lower lobe with minimal residual opacity.  Pulmonary vascular congestion has
 also improved.  No pneumothorax or substantial effusion.
 IMPRESSION: 
 Improved aeration of the left lower lobe and increasing opacity likely
 improved atelectasis.</x:v>
      </x:c>
      <x:c r="G251" s="35" t="str">
        <x:v>Improved</x:v>
      </x:c>
      <x:c r="H251" s="36" t="str"/>
      <x:c r="I251" s="36" t="str"/>
      <x:c r="J251" s="36" t="str"/>
      <x:c r="K251" s="37"/>
      <x:c r="L251" s="36" t="str"/>
      <x:c r="M251" s="38" t="str">
        <x:f>IF(H251="","待填写标签",IF(AND(H251="Unusable",I251=""),"需填写不可用原因",IF(J251="","需填写审核人",IF(K251="","需填写日期","完成"))))</x:f>
        <x:v>待填写标签</x:v>
      </x:c>
    </x:row>
  </x:sheetData>
  <x:conditionalFormatting sqref="M2:M251">
    <x:cfRule type="containsText" dxfId="0" priority="1" operator="containsText" text="完成"/>
    <x:cfRule type="notContainsText" dxfId="1" priority="2" text="完成"/>
  </x:conditionalFormatting>
  <x:dataValidations count="2">
    <x:dataValidation type="list" sqref="H2:H251">
      <x:formula1>"Improved,Worse,New,Resolved,Stable,Unclear,Unusable"</x:formula1>
    </x:dataValidation>
    <x:dataValidation type="list" sqref="I2:I251">
      <x:formula1>"Missing report,Wrong finding,Not comparable,Corrupt text,Duplicate,Both negative,Other"</x:formula1>
    </x:dataValidation>
  </x:dataValidations>
  <x:pageMargins left="0.7" right="0.7" top="0.75" bottom="0.75" header="0.3" footer="0.3"/>
  <x:tableParts count="1">
    <x:tablePart xmlns:r="http://schemas.openxmlformats.org/officeDocument/2006/relationships" r:id="R02a60156af2f448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20" hidden="0" customWidth="1"/>
  </x:cols>
  <x:sheetData>
    <x:row r="1" ht="28" customHeight="1">
      <x:c r="A1" s="39" t="str">
        <x:v>资深医生复核完成情况</x:v>
      </x:c>
      <x:c r="B1" s="39"/>
      <x:c r="C1" s="39"/>
      <x:c r="D1" s="39"/>
    </x:row>
    <x:row r="3">
      <x:c r="A3" s="40" t="str">
        <x:v>检查项</x:v>
      </x:c>
      <x:c r="B3" s="40" t="str">
        <x:v>结果</x:v>
      </x:c>
      <x:c r="C3" s="42"/>
    </x:row>
    <x:row r="4">
      <x:c r="A4" s="42" t="str">
        <x:v>总行数</x:v>
      </x:c>
      <x:c r="B4" s="42" t="n">
        <x:f>COUNTA('资深医生复核'!$A$2:$A$251)</x:f>
        <x:v>250</x:v>
      </x:c>
      <x:c r="C4" s="42"/>
    </x:row>
    <x:row r="5">
      <x:c r="A5" s="42" t="str">
        <x:v>完成行数</x:v>
      </x:c>
      <x:c r="B5" s="42" t="n">
        <x:f>COUNTIF('资深医生复核'!$M$2:$M$251,"完成")</x:f>
        <x:v>0</x:v>
      </x:c>
      <x:c r="C5" s="42"/>
    </x:row>
    <x:row r="6">
      <x:c r="A6" s="42" t="str">
        <x:v>未完成行数</x:v>
      </x:c>
      <x:c r="B6" s="42" t="n">
        <x:f>B4-B5</x:f>
        <x:v>250</x:v>
      </x:c>
      <x:c r="C6" s="42"/>
    </x:row>
    <x:row r="7">
      <x:c r="A7" s="42" t="str">
        <x:v>缺少资深医生标签</x:v>
      </x:c>
      <x:c r="B7" s="42" t="n">
        <x:f>COUNTBLANK('资深医生复核'!$H$2:$H$251)</x:f>
        <x:v>250</x:v>
      </x:c>
      <x:c r="C7" s="42"/>
    </x:row>
    <x:row r="8">
      <x:c r="A8" s="42" t="str">
        <x:v>缺少审核人</x:v>
      </x:c>
      <x:c r="B8" s="42" t="n">
        <x:f>COUNTBLANK('资深医生复核'!$J$2:$J$251)</x:f>
        <x:v>250</x:v>
      </x:c>
      <x:c r="C8" s="42"/>
    </x:row>
    <x:row r="9">
      <x:c r="A9" s="42" t="str">
        <x:v>缺少审核日期</x:v>
      </x:c>
      <x:c r="B9" s="42" t="n">
        <x:f>COUNTBLANK('资深医生复核'!$K$2:$K$251)</x:f>
        <x:v>250</x:v>
      </x:c>
      <x:c r="C9" s="42"/>
    </x:row>
    <x:row r="10">
      <x:c r="A10" s="42" t="str">
        <x:v>Unusable 但缺少原因</x:v>
      </x:c>
      <x:c r="B10" s="42" t="n">
        <x:f>COUNTIFS('资深医生复核'!$H$2:$H$251,"Unusable",'资深医生复核'!$I$2:$I$251,"")</x:f>
        <x:v>0</x:v>
      </x:c>
      <x:c r="C10" s="42"/>
    </x:row>
    <x:row r="11">
      <x:c r="A11" s="42"/>
      <x:c r="B11" s="42"/>
      <x:c r="C11" s="42"/>
    </x:row>
    <x:row r="12">
      <x:c r="A12" s="40" t="str">
        <x:v>Luna标签</x:v>
      </x:c>
      <x:c r="B12" s="40" t="str">
        <x:v>Luna行数</x:v>
      </x:c>
      <x:c r="C12" s="40" t="str">
        <x:v>资深医生同标签数</x:v>
      </x:c>
    </x:row>
    <x:row r="13">
      <x:c r="A13" s="42" t="str">
        <x:v>Improved</x:v>
      </x:c>
      <x:c r="B13" s="42" t="n">
        <x:f>COUNTIF('资深医生复核'!$G$2:$G$251,A13)</x:f>
        <x:v>50</x:v>
      </x:c>
      <x:c r="C13" s="42" t="n">
        <x:f>COUNTIFS('资深医生复核'!$G$2:$G$251,A13,'资深医生复核'!$H$2:$H$251,A13)</x:f>
        <x:v>0</x:v>
      </x:c>
    </x:row>
    <x:row r="14">
      <x:c r="A14" s="42" t="str">
        <x:v>Worse</x:v>
      </x:c>
      <x:c r="B14" s="42" t="n">
        <x:f>COUNTIF('资深医生复核'!$G$2:$G$251,A14)</x:f>
        <x:v>50</x:v>
      </x:c>
      <x:c r="C14" s="42" t="n">
        <x:f>COUNTIFS('资深医生复核'!$G$2:$G$251,A14,'资深医生复核'!$H$2:$H$251,A14)</x:f>
        <x:v>0</x:v>
      </x:c>
    </x:row>
    <x:row r="15">
      <x:c r="A15" s="42" t="str">
        <x:v>New</x:v>
      </x:c>
      <x:c r="B15" s="42" t="n">
        <x:f>COUNTIF('资深医生复核'!$G$2:$G$251,A15)</x:f>
        <x:v>50</x:v>
      </x:c>
      <x:c r="C15" s="42" t="n">
        <x:f>COUNTIFS('资深医生复核'!$G$2:$G$251,A15,'资深医生复核'!$H$2:$H$251,A15)</x:f>
        <x:v>0</x:v>
      </x:c>
    </x:row>
    <x:row r="16">
      <x:c r="A16" s="42" t="str">
        <x:v>Resolved</x:v>
      </x:c>
      <x:c r="B16" s="42" t="n">
        <x:f>COUNTIF('资深医生复核'!$G$2:$G$251,A16)</x:f>
        <x:v>50</x:v>
      </x:c>
      <x:c r="C16" s="42" t="n">
        <x:f>COUNTIFS('资深医生复核'!$G$2:$G$251,A16,'资深医生复核'!$H$2:$H$251,A16)</x:f>
        <x:v>0</x:v>
      </x:c>
    </x:row>
    <x:row r="17">
      <x:c r="A17" s="42" t="str">
        <x:v>Stable</x:v>
      </x:c>
      <x:c r="B17" s="42" t="n">
        <x:f>COUNTIF('资深医生复核'!$G$2:$G$251,A17)</x:f>
        <x:v>50</x:v>
      </x:c>
      <x:c r="C17" s="42" t="n">
        <x:f>COUNTIFS('资深医生复核'!$G$2:$G$251,A17,'资深医生复核'!$H$2:$H$251,A17)</x:f>
        <x:v>0</x:v>
      </x:c>
    </x:row>
  </x:sheetData>
  <x:mergeCells>
    <x:mergeCell ref="A1:D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52" hidden="0" customWidth="1"/>
    <x:col min="4" max="4" width="14" hidden="0" customWidth="1"/>
  </x:cols>
  <x:sheetData>
    <x:row r="1" ht="28" customHeight="1">
      <x:c r="A1" s="39" t="str">
        <x:v>标签代码表</x:v>
      </x:c>
      <x:c r="B1" s="39"/>
      <x:c r="C1" s="39"/>
      <x:c r="D1" s="39"/>
    </x:row>
    <x:row r="3">
      <x:c r="A3" s="45" t="str">
        <x:v>代码</x:v>
      </x:c>
      <x:c r="B3" s="45" t="str">
        <x:v>定义</x:v>
      </x:c>
      <x:c r="C3" s="45" t="str">
        <x:v>关键边界</x:v>
      </x:c>
      <x:c r="D3" s="45" t="str">
        <x:v>进入 Gold</x:v>
      </x:c>
    </x:row>
    <x:row r="4" ht="40" customHeight="1">
      <x:c r="A4" s="14" t="str">
        <x:v>Improved</x:v>
      </x:c>
      <x:c r="B4" s="14" t="str">
        <x:v>病灶仍存在，但程度或范围明确减轻。</x:v>
      </x:c>
      <x:c r="C4" s="14" t="str">
        <x:v>完全消失应为 Resolved。</x:v>
      </x:c>
      <x:c r="D4" s="14" t="str">
        <x:v>是</x:v>
      </x:c>
    </x:row>
    <x:row r="5" ht="40" customHeight="1">
      <x:c r="A5" s="14" t="str">
        <x:v>Worse</x:v>
      </x:c>
      <x:c r="B5" s="14" t="str">
        <x:v>既有病灶程度或范围明确增加。</x:v>
      </x:c>
      <x:c r="C5" s="14" t="str">
        <x:v>新出现应为 New。</x:v>
      </x:c>
      <x:c r="D5" s="14" t="str">
        <x:v>是</x:v>
      </x:c>
    </x:row>
    <x:row r="6" ht="40" customHeight="1">
      <x:c r="A6" s="14" t="str">
        <x:v>New</x:v>
      </x:c>
      <x:c r="B6" s="14" t="str">
        <x:v>PRIOR 明确不存在，CURRENT 明确新出现。</x:v>
      </x:c>
      <x:c r="C6" s="14" t="str">
        <x:v>PRIOR 未提及不等于明确阴性。</x:v>
      </x:c>
      <x:c r="D6" s="14" t="str">
        <x:v>是</x:v>
      </x:c>
    </x:row>
    <x:row r="7" ht="40" customHeight="1">
      <x:c r="A7" s="14" t="str">
        <x:v>Resolved</x:v>
      </x:c>
      <x:c r="B7" s="14" t="str">
        <x:v>PRIOR 存在，CURRENT 明确消失。</x:v>
      </x:c>
      <x:c r="C7" s="14" t="str">
        <x:v>仅减轻应为 Improved。</x:v>
      </x:c>
      <x:c r="D7" s="14" t="str">
        <x:v>是</x:v>
      </x:c>
    </x:row>
    <x:row r="8" ht="40" customHeight="1">
      <x:c r="A8" s="14" t="str">
        <x:v>Stable</x:v>
      </x:c>
      <x:c r="B8" s="14" t="str">
        <x:v>前后均存在且明确无实质变化。</x:v>
      </x:c>
      <x:c r="C8" s="14" t="str">
        <x:v>两次均阴性不属于 Stable。</x:v>
      </x:c>
      <x:c r="D8" s="14" t="str">
        <x:v>是</x:v>
      </x:c>
    </x:row>
    <x:row r="9" ht="40" customHeight="1">
      <x:c r="A9" s="14" t="str">
        <x:v>Unclear</x:v>
      </x:c>
      <x:c r="B9" s="14" t="str">
        <x:v>报告可用，但不足以可靠判断五类。</x:v>
      </x:c>
      <x:c r="C9" s="14" t="str">
        <x:v>不要用推测补足报告。</x:v>
      </x:c>
      <x:c r="D9" s="14" t="str">
        <x:v>否</x:v>
      </x:c>
    </x:row>
    <x:row r="10" ht="40" customHeight="1">
      <x:c r="A10" s="14" t="str">
        <x:v>Unusable</x:v>
      </x:c>
      <x:c r="B10" s="14" t="str">
        <x:v>结构或内容不适合纵向评估。</x:v>
      </x:c>
      <x:c r="C10" s="14" t="str">
        <x:v>必须填写不可用原因。</x:v>
      </x:c>
      <x:c r="D10" s="14" t="str">
        <x:v>否</x:v>
      </x:c>
    </x:row>
  </x:sheetData>
  <x:mergeCells>
    <x:mergeCell ref="A1:D1"/>
  </x:mergeCells>
  <x:pageMargins left="0.7" right="0.7" top="0.75" bottom="0.75" header="0.3" footer="0.3"/>
</x:worksheet>
</file>